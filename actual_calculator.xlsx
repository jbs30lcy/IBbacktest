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n36\Desktop\무매법\"/>
    </mc:Choice>
  </mc:AlternateContent>
  <xr:revisionPtr revIDLastSave="0" documentId="13_ncr:1_{5334E978-720F-4B53-874E-C1E97C048584}" xr6:coauthVersionLast="47" xr6:coauthVersionMax="47" xr10:uidLastSave="{00000000-0000-0000-0000-000000000000}"/>
  <bookViews>
    <workbookView xWindow="350" yWindow="500" windowWidth="22180" windowHeight="12310" activeTab="2" xr2:uid="{A2B1712C-5EDB-4D74-B7D9-7D805C63699C}"/>
  </bookViews>
  <sheets>
    <sheet name="무매 계산식" sheetId="1" r:id="rId1"/>
    <sheet name="무한매수 실전" sheetId="2" r:id="rId2"/>
    <sheet name="VR실전(적립식)" sheetId="3" r:id="rId3"/>
    <sheet name="VR실전(거치식)" sheetId="4" r:id="rId4"/>
    <sheet name="VR실전(인출식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2" l="1"/>
  <c r="P29" i="2"/>
  <c r="Q21" i="2"/>
  <c r="Q20" i="2"/>
  <c r="R24" i="2"/>
  <c r="L10" i="2"/>
  <c r="I10" i="2"/>
  <c r="K10" i="2"/>
  <c r="H10" i="2"/>
  <c r="Q29" i="2"/>
  <c r="R28" i="2"/>
  <c r="P15" i="2"/>
  <c r="L9" i="2"/>
  <c r="H9" i="2"/>
  <c r="I9" i="2"/>
  <c r="K9" i="2"/>
  <c r="H8" i="2"/>
  <c r="I8" i="2"/>
  <c r="K8" i="2"/>
  <c r="S16" i="2"/>
  <c r="H7" i="2"/>
  <c r="I7" i="2"/>
  <c r="K7" i="2"/>
  <c r="N27" i="5"/>
  <c r="G5" i="5"/>
  <c r="N8" i="5"/>
  <c r="N7" i="5"/>
  <c r="S34" i="5"/>
  <c r="C4" i="5"/>
  <c r="P17" i="5"/>
  <c r="C3" i="5"/>
  <c r="B3" i="5"/>
  <c r="P36" i="5"/>
  <c r="M32" i="5"/>
  <c r="M31" i="5"/>
  <c r="M30" i="5"/>
  <c r="M29" i="5"/>
  <c r="M28" i="5"/>
  <c r="M22" i="5"/>
  <c r="M21" i="5"/>
  <c r="M20" i="5"/>
  <c r="M19" i="5"/>
  <c r="M18" i="5"/>
  <c r="M17" i="5"/>
  <c r="M16" i="5"/>
  <c r="M15" i="5"/>
  <c r="M14" i="5"/>
  <c r="N14" i="5" s="1"/>
  <c r="S8" i="5"/>
  <c r="S4" i="5"/>
  <c r="P35" i="5"/>
  <c r="S34" i="4"/>
  <c r="N8" i="4"/>
  <c r="N7" i="4"/>
  <c r="C4" i="4"/>
  <c r="H6" i="2"/>
  <c r="I6" i="2"/>
  <c r="K6" i="2"/>
  <c r="P17" i="4"/>
  <c r="B3" i="4"/>
  <c r="P36" i="4"/>
  <c r="M32" i="4"/>
  <c r="M31" i="4"/>
  <c r="M30" i="4"/>
  <c r="M29" i="4"/>
  <c r="M28" i="4"/>
  <c r="N28" i="4" s="1"/>
  <c r="M22" i="4"/>
  <c r="M21" i="4"/>
  <c r="M20" i="4"/>
  <c r="M19" i="4"/>
  <c r="M18" i="4"/>
  <c r="M17" i="4"/>
  <c r="M16" i="4"/>
  <c r="M15" i="4"/>
  <c r="M14" i="4"/>
  <c r="N14" i="4" s="1"/>
  <c r="N15" i="4" s="1"/>
  <c r="S8" i="4"/>
  <c r="G6" i="4"/>
  <c r="S4" i="4"/>
  <c r="P17" i="3"/>
  <c r="G6" i="3"/>
  <c r="N8" i="3"/>
  <c r="N7" i="3"/>
  <c r="P36" i="3"/>
  <c r="C5" i="3"/>
  <c r="M32" i="3"/>
  <c r="M22" i="3"/>
  <c r="M21" i="3"/>
  <c r="M20" i="3"/>
  <c r="M19" i="3"/>
  <c r="C4" i="3"/>
  <c r="M18" i="3"/>
  <c r="M17" i="3"/>
  <c r="S34" i="3"/>
  <c r="D4" i="3" s="1"/>
  <c r="P35" i="3" s="1"/>
  <c r="S8" i="3"/>
  <c r="C3" i="3" s="1"/>
  <c r="G3" i="3"/>
  <c r="S4" i="3"/>
  <c r="R51" i="2"/>
  <c r="V51" i="2"/>
  <c r="S47" i="2"/>
  <c r="S42" i="2"/>
  <c r="K5" i="2"/>
  <c r="H4" i="2"/>
  <c r="H5" i="2"/>
  <c r="H3" i="2"/>
  <c r="I5" i="2"/>
  <c r="K4" i="2"/>
  <c r="I4" i="2"/>
  <c r="F4" i="2"/>
  <c r="F5" i="2" s="1"/>
  <c r="F6" i="2" s="1"/>
  <c r="I2" i="2"/>
  <c r="I3" i="2"/>
  <c r="K3" i="2"/>
  <c r="K2" i="2"/>
  <c r="D16" i="1"/>
  <c r="C17" i="1" s="1"/>
  <c r="D17" i="1" s="1"/>
  <c r="E13" i="1"/>
  <c r="F12" i="1"/>
  <c r="D4" i="1"/>
  <c r="Q34" i="2" l="1"/>
  <c r="L7" i="2"/>
  <c r="L8" i="2" s="1"/>
  <c r="N28" i="5"/>
  <c r="N29" i="5"/>
  <c r="N30" i="5" s="1"/>
  <c r="N31" i="5" s="1"/>
  <c r="N32" i="5" s="1"/>
  <c r="N15" i="5"/>
  <c r="N16" i="5" s="1"/>
  <c r="N17" i="5" s="1"/>
  <c r="N18" i="5" s="1"/>
  <c r="N19" i="5" s="1"/>
  <c r="N20" i="5" s="1"/>
  <c r="N21" i="5" s="1"/>
  <c r="N22" i="5" s="1"/>
  <c r="N29" i="4"/>
  <c r="N30" i="4" s="1"/>
  <c r="N31" i="4" s="1"/>
  <c r="N32" i="4" s="1"/>
  <c r="N16" i="4"/>
  <c r="N17" i="4" s="1"/>
  <c r="N18" i="4" s="1"/>
  <c r="N19" i="4" s="1"/>
  <c r="N20" i="4" s="1"/>
  <c r="N21" i="4" s="1"/>
  <c r="N22" i="4" s="1"/>
  <c r="M31" i="3"/>
  <c r="M30" i="3"/>
  <c r="M16" i="3"/>
  <c r="M15" i="3"/>
  <c r="M14" i="3"/>
  <c r="N14" i="3" s="1"/>
  <c r="M29" i="3"/>
  <c r="M28" i="3"/>
  <c r="N28" i="3" s="1"/>
  <c r="L3" i="2"/>
  <c r="L4" i="2" s="1"/>
  <c r="L5" i="2" s="1"/>
  <c r="L6" i="2" s="1"/>
  <c r="P28" i="2"/>
  <c r="Q13" i="2"/>
  <c r="C18" i="1"/>
  <c r="D18" i="1" s="1"/>
  <c r="N15" i="3" l="1"/>
  <c r="N16" i="3" s="1"/>
  <c r="N17" i="3" s="1"/>
  <c r="N18" i="3" s="1"/>
  <c r="N19" i="3" s="1"/>
  <c r="N20" i="3" s="1"/>
  <c r="N21" i="3" s="1"/>
  <c r="N22" i="3" s="1"/>
  <c r="N29" i="3"/>
  <c r="N30" i="3" s="1"/>
  <c r="N31" i="3" s="1"/>
  <c r="N32" i="3" s="1"/>
  <c r="R33" i="2"/>
  <c r="R12" i="2"/>
  <c r="T34" i="2" l="1"/>
  <c r="T36" i="2"/>
  <c r="T35" i="2"/>
  <c r="T16" i="2"/>
  <c r="Q16" i="2" s="1"/>
  <c r="T15" i="2"/>
  <c r="Q15" i="2" s="1"/>
  <c r="T14" i="2"/>
  <c r="T12" i="2"/>
  <c r="T13" i="2" s="1"/>
  <c r="P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ten36</author>
  </authors>
  <commentList>
    <comment ref="I1" authorId="0" shapeId="0" xr:uid="{9C057435-5960-461E-A8E1-EDD381B54C7C}">
      <text>
        <r>
          <rPr>
            <b/>
            <sz val="9"/>
            <color indexed="81"/>
            <rFont val="Tahoma"/>
            <family val="2"/>
          </rPr>
          <t>0.25%</t>
        </r>
      </text>
    </comment>
  </commentList>
</comments>
</file>

<file path=xl/sharedStrings.xml><?xml version="1.0" encoding="utf-8"?>
<sst xmlns="http://schemas.openxmlformats.org/spreadsheetml/2006/main" count="337" uniqueCount="187">
  <si>
    <t>원금</t>
    <phoneticPr fontId="1" type="noConversion"/>
  </si>
  <si>
    <t>원금 설정 및 분할 기간 설정</t>
    <phoneticPr fontId="1" type="noConversion"/>
  </si>
  <si>
    <t>분할</t>
    <phoneticPr fontId="1" type="noConversion"/>
  </si>
  <si>
    <t>&lt;실 전 &gt;</t>
    <phoneticPr fontId="1" type="noConversion"/>
  </si>
  <si>
    <t>T값(일반모드 =+1/+0.5/쿼터매도시 직전T*0.75)</t>
    <phoneticPr fontId="1" type="noConversion"/>
  </si>
  <si>
    <t>지정가매도 후 LOC매수되는 경우, (*0.25+1 or *0.25+0.5)로 계산</t>
    <phoneticPr fontId="1" type="noConversion"/>
  </si>
  <si>
    <t>TQQQ</t>
    <phoneticPr fontId="1" type="noConversion"/>
  </si>
  <si>
    <t>★%가격</t>
  </si>
  <si>
    <t>★%가격</t>
    <phoneticPr fontId="1" type="noConversion"/>
  </si>
  <si>
    <t>현재평단</t>
    <phoneticPr fontId="1" type="noConversion"/>
  </si>
  <si>
    <t>TQQQ개수</t>
    <phoneticPr fontId="1" type="noConversion"/>
  </si>
  <si>
    <t>진행율</t>
    <phoneticPr fontId="1" type="noConversion"/>
  </si>
  <si>
    <t>전체회차(a)</t>
    <phoneticPr fontId="1" type="noConversion"/>
  </si>
  <si>
    <t>현재회차(T)</t>
    <phoneticPr fontId="1" type="noConversion"/>
  </si>
  <si>
    <t>15-0.75T</t>
    <phoneticPr fontId="1" type="noConversion"/>
  </si>
  <si>
    <t>★%</t>
    <phoneticPr fontId="1" type="noConversion"/>
  </si>
  <si>
    <t>1회시도액</t>
    <phoneticPr fontId="1" type="noConversion"/>
  </si>
  <si>
    <t>1/40회</t>
    <phoneticPr fontId="1" type="noConversion"/>
  </si>
  <si>
    <t>전반전</t>
    <phoneticPr fontId="1" type="noConversion"/>
  </si>
  <si>
    <t>후반전</t>
    <phoneticPr fontId="1" type="noConversion"/>
  </si>
  <si>
    <t>T&lt;19</t>
    <phoneticPr fontId="1" type="noConversion"/>
  </si>
  <si>
    <t>T&gt;=20</t>
    <phoneticPr fontId="1" type="noConversion"/>
  </si>
  <si>
    <t>(매수는 별지점-0.01)</t>
    <phoneticPr fontId="1" type="noConversion"/>
  </si>
  <si>
    <t>첫 매수금</t>
    <phoneticPr fontId="1" type="noConversion"/>
  </si>
  <si>
    <t>2회 매수</t>
    <phoneticPr fontId="1" type="noConversion"/>
  </si>
  <si>
    <t>잔금</t>
    <phoneticPr fontId="1" type="noConversion"/>
  </si>
  <si>
    <t>3회매수</t>
    <phoneticPr fontId="1" type="noConversion"/>
  </si>
  <si>
    <t>매매가</t>
    <phoneticPr fontId="1" type="noConversion"/>
  </si>
  <si>
    <t>평단</t>
    <phoneticPr fontId="1" type="noConversion"/>
  </si>
  <si>
    <t>개수</t>
    <phoneticPr fontId="1" type="noConversion"/>
  </si>
  <si>
    <t>누적개수</t>
    <phoneticPr fontId="1" type="noConversion"/>
  </si>
  <si>
    <t>수익률</t>
    <phoneticPr fontId="1" type="noConversion"/>
  </si>
  <si>
    <t>수수료</t>
    <phoneticPr fontId="1" type="noConversion"/>
  </si>
  <si>
    <t>수익금</t>
    <phoneticPr fontId="1" type="noConversion"/>
  </si>
  <si>
    <t>처음매수</t>
    <phoneticPr fontId="1" type="noConversion"/>
  </si>
  <si>
    <t>LOC</t>
    <phoneticPr fontId="1" type="noConversion"/>
  </si>
  <si>
    <t>큰수매수</t>
    <phoneticPr fontId="1" type="noConversion"/>
  </si>
  <si>
    <t>전일종가(7/13)</t>
    <phoneticPr fontId="1" type="noConversion"/>
  </si>
  <si>
    <t>&lt;새 사이클 시작&gt;</t>
    <phoneticPr fontId="1" type="noConversion"/>
  </si>
  <si>
    <t>&lt;매수점-전반&gt;</t>
    <phoneticPr fontId="1" type="noConversion"/>
  </si>
  <si>
    <t>T=1~19.9999</t>
    <phoneticPr fontId="1" type="noConversion"/>
  </si>
  <si>
    <t>반절매수</t>
    <phoneticPr fontId="1" type="noConversion"/>
  </si>
  <si>
    <t>T=0</t>
    <phoneticPr fontId="1" type="noConversion"/>
  </si>
  <si>
    <t>NAIL 1차</t>
    <phoneticPr fontId="1" type="noConversion"/>
  </si>
  <si>
    <t>매수액</t>
    <phoneticPr fontId="1" type="noConversion"/>
  </si>
  <si>
    <t>총수익</t>
    <phoneticPr fontId="1" type="noConversion"/>
  </si>
  <si>
    <t>총누적</t>
    <phoneticPr fontId="1" type="noConversion"/>
  </si>
  <si>
    <t>전일 데이터를 대입해서 당일값 계산</t>
    <phoneticPr fontId="1" type="noConversion"/>
  </si>
  <si>
    <t>매수시도액</t>
    <phoneticPr fontId="1" type="noConversion"/>
  </si>
  <si>
    <t>마이0.01</t>
    <phoneticPr fontId="1" type="noConversion"/>
  </si>
  <si>
    <t>&lt;매도점-전/후반 공통&gt;</t>
    <phoneticPr fontId="1" type="noConversion"/>
  </si>
  <si>
    <t>전후반 공통</t>
    <phoneticPr fontId="1" type="noConversion"/>
  </si>
  <si>
    <t>매수누적액</t>
    <phoneticPr fontId="1" type="noConversion"/>
  </si>
  <si>
    <t>반올림</t>
    <phoneticPr fontId="1" type="noConversion"/>
  </si>
  <si>
    <t>★ or 큰수??</t>
    <phoneticPr fontId="1" type="noConversion"/>
  </si>
  <si>
    <t>first</t>
    <phoneticPr fontId="1" type="noConversion"/>
  </si>
  <si>
    <t>second</t>
    <phoneticPr fontId="1" type="noConversion"/>
  </si>
  <si>
    <t>체결및엑셀기록</t>
    <phoneticPr fontId="1" type="noConversion"/>
  </si>
  <si>
    <t>#개수계산</t>
  </si>
  <si>
    <t>#개수계산</t>
    <phoneticPr fontId="1" type="noConversion"/>
  </si>
  <si>
    <t>#반절액</t>
    <phoneticPr fontId="1" type="noConversion"/>
  </si>
  <si>
    <t>하프 매수시도액</t>
    <phoneticPr fontId="1" type="noConversion"/>
  </si>
  <si>
    <t>풀 매수시도액</t>
    <phoneticPr fontId="1" type="noConversion"/>
  </si>
  <si>
    <t>풀매수액/평단-★</t>
    <phoneticPr fontId="1" type="noConversion"/>
  </si>
  <si>
    <t>풀매/(★+평단+1)</t>
    <phoneticPr fontId="1" type="noConversion"/>
  </si>
  <si>
    <t>#주문가격</t>
    <phoneticPr fontId="1" type="noConversion"/>
  </si>
  <si>
    <t>평단의 80%까지만</t>
    <phoneticPr fontId="1" type="noConversion"/>
  </si>
  <si>
    <t>누적수량의 4분의 1</t>
    <phoneticPr fontId="1" type="noConversion"/>
  </si>
  <si>
    <t>T=20~39</t>
    <phoneticPr fontId="1" type="noConversion"/>
  </si>
  <si>
    <t>#T&gt;39는 소진모드</t>
    <phoneticPr fontId="1" type="noConversion"/>
  </si>
  <si>
    <t>#전반(★&gt;평단) / 후반(★&lt;평단)</t>
    <phoneticPr fontId="1" type="noConversion"/>
  </si>
  <si>
    <t>전체매수</t>
    <phoneticPr fontId="1" type="noConversion"/>
  </si>
  <si>
    <t>third-후반</t>
    <phoneticPr fontId="1" type="noConversion"/>
  </si>
  <si>
    <t>third-전반</t>
    <phoneticPr fontId="1" type="noConversion"/>
  </si>
  <si>
    <t>fourth</t>
    <phoneticPr fontId="1" type="noConversion"/>
  </si>
  <si>
    <r>
      <rPr>
        <sz val="11"/>
        <color rgb="FFC00000"/>
        <rFont val="맑은 고딕"/>
        <family val="3"/>
        <charset val="129"/>
        <scheme val="minor"/>
      </rPr>
      <t>★지점</t>
    </r>
    <r>
      <rPr>
        <sz val="11"/>
        <color theme="1"/>
        <rFont val="맑은 고딕"/>
        <family val="2"/>
        <charset val="129"/>
        <scheme val="minor"/>
      </rPr>
      <t>=평단*(1+★%)</t>
    </r>
    <phoneticPr fontId="1" type="noConversion"/>
  </si>
  <si>
    <t>풀매/(★+1+1)</t>
    <phoneticPr fontId="1" type="noConversion"/>
  </si>
  <si>
    <t>풀매/(★+1)</t>
    <phoneticPr fontId="1" type="noConversion"/>
  </si>
  <si>
    <r>
      <t>&lt;매수점-</t>
    </r>
    <r>
      <rPr>
        <b/>
        <sz val="11"/>
        <color rgb="FF0070C0"/>
        <rFont val="맑은 고딕"/>
        <family val="3"/>
        <charset val="129"/>
        <scheme val="minor"/>
      </rPr>
      <t>후반</t>
    </r>
    <r>
      <rPr>
        <b/>
        <sz val="11"/>
        <color rgb="FFC00000"/>
        <rFont val="맑은 고딕"/>
        <family val="3"/>
        <charset val="129"/>
        <scheme val="minor"/>
      </rPr>
      <t>&gt;</t>
    </r>
    <phoneticPr fontId="1" type="noConversion"/>
  </si>
  <si>
    <t>1. 일반모드</t>
    <phoneticPr fontId="1" type="noConversion"/>
  </si>
  <si>
    <t>2. 소진후 리버스모드</t>
    <phoneticPr fontId="1" type="noConversion"/>
  </si>
  <si>
    <t>처음매도</t>
    <phoneticPr fontId="1" type="noConversion"/>
  </si>
  <si>
    <t>T&gt;39</t>
    <phoneticPr fontId="1" type="noConversion"/>
  </si>
  <si>
    <t>MOC매도</t>
    <phoneticPr fontId="1" type="noConversion"/>
  </si>
  <si>
    <t>개</t>
    <phoneticPr fontId="1" type="noConversion"/>
  </si>
  <si>
    <t>&lt;첫날 매도&gt;</t>
    <phoneticPr fontId="1" type="noConversion"/>
  </si>
  <si>
    <t>&lt;매도점&gt;</t>
    <phoneticPr fontId="1" type="noConversion"/>
  </si>
  <si>
    <t>Reverse</t>
    <phoneticPr fontId="1" type="noConversion"/>
  </si>
  <si>
    <t>★% LOC</t>
    <phoneticPr fontId="1" type="noConversion"/>
  </si>
  <si>
    <t>* 48.62에 11개매도 의미</t>
    <phoneticPr fontId="1" type="noConversion"/>
  </si>
  <si>
    <t>40분할시</t>
    <phoneticPr fontId="1" type="noConversion"/>
  </si>
  <si>
    <t>#40분할시 40/2</t>
    <phoneticPr fontId="1" type="noConversion"/>
  </si>
  <si>
    <t>총보유량</t>
    <phoneticPr fontId="1" type="noConversion"/>
  </si>
  <si>
    <t>총보유랑</t>
    <phoneticPr fontId="1" type="noConversion"/>
  </si>
  <si>
    <t>첫날은 매수X</t>
    <phoneticPr fontId="1" type="noConversion"/>
  </si>
  <si>
    <t>첫날은 매도만!</t>
    <phoneticPr fontId="1" type="noConversion"/>
  </si>
  <si>
    <t>MOC잔액</t>
    <phoneticPr fontId="1" type="noConversion"/>
  </si>
  <si>
    <t>쿼터매수</t>
    <phoneticPr fontId="1" type="noConversion"/>
  </si>
  <si>
    <t>★지점(리버스모드)</t>
    <phoneticPr fontId="1" type="noConversion"/>
  </si>
  <si>
    <t>직전 5거래일 종가의 평균(단, 첫거래일은 MOC 무조건매도)</t>
    <phoneticPr fontId="1" type="noConversion"/>
  </si>
  <si>
    <t>두번째 날부터 매수 매도의 기준가격임</t>
    <phoneticPr fontId="1" type="noConversion"/>
  </si>
  <si>
    <t># 쿼터매도</t>
    <phoneticPr fontId="1" type="noConversion"/>
  </si>
  <si>
    <t># 리버스모드 T값 계산식</t>
    <phoneticPr fontId="1" type="noConversion"/>
  </si>
  <si>
    <t>1.첫날</t>
    <phoneticPr fontId="1" type="noConversion"/>
  </si>
  <si>
    <t>매도시(직전T*0.95), 매수시 직전T(40-T)*0.25</t>
  </si>
  <si>
    <t>전일 T값 * 1/20</t>
    <phoneticPr fontId="1" type="noConversion"/>
  </si>
  <si>
    <t>2.둘째날 이후(40분할시)</t>
    <phoneticPr fontId="1" type="noConversion"/>
  </si>
  <si>
    <t>최초 v값</t>
    <phoneticPr fontId="1" type="noConversion"/>
  </si>
  <si>
    <t>(최초원금)</t>
    <phoneticPr fontId="1" type="noConversion"/>
  </si>
  <si>
    <t>: 2주동안 최초원금 모으기</t>
    <phoneticPr fontId="1" type="noConversion"/>
  </si>
  <si>
    <t>V1</t>
    <phoneticPr fontId="1" type="noConversion"/>
  </si>
  <si>
    <t>전일종가</t>
    <phoneticPr fontId="1" type="noConversion"/>
  </si>
  <si>
    <t>V2</t>
    <phoneticPr fontId="1" type="noConversion"/>
  </si>
  <si>
    <t>현재 v값 * 1.02+ 월투자금/2</t>
    <phoneticPr fontId="1" type="noConversion"/>
  </si>
  <si>
    <t>V2=V1+(pool/G)+적립금</t>
    <phoneticPr fontId="1" type="noConversion"/>
  </si>
  <si>
    <t>시작평가금</t>
    <phoneticPr fontId="1" type="noConversion"/>
  </si>
  <si>
    <t>마지막평가금</t>
    <phoneticPr fontId="1" type="noConversion"/>
  </si>
  <si>
    <t>최소밴드</t>
    <phoneticPr fontId="1" type="noConversion"/>
  </si>
  <si>
    <t>최대밴드</t>
    <phoneticPr fontId="1" type="noConversion"/>
  </si>
  <si>
    <t>시작pool</t>
    <phoneticPr fontId="1" type="noConversion"/>
  </si>
  <si>
    <t>마지막pool</t>
    <phoneticPr fontId="1" type="noConversion"/>
  </si>
  <si>
    <t>최소밴드=V값*(곱하기)</t>
    <phoneticPr fontId="1" type="noConversion"/>
  </si>
  <si>
    <t>1사이클(1.4~1.15)</t>
    <phoneticPr fontId="1" type="noConversion"/>
  </si>
  <si>
    <t>&lt;매수표&gt;</t>
    <phoneticPr fontId="1" type="noConversion"/>
  </si>
  <si>
    <t>보유개수</t>
    <phoneticPr fontId="1" type="noConversion"/>
  </si>
  <si>
    <t>매수점</t>
    <phoneticPr fontId="1" type="noConversion"/>
  </si>
  <si>
    <t>&lt;매도표&gt;</t>
    <phoneticPr fontId="1" type="noConversion"/>
  </si>
  <si>
    <t>~</t>
    <phoneticPr fontId="1" type="noConversion"/>
  </si>
  <si>
    <t>이전 사이클</t>
    <phoneticPr fontId="1" type="noConversion"/>
  </si>
  <si>
    <t>마지막일 종가</t>
    <phoneticPr fontId="1" type="noConversion"/>
  </si>
  <si>
    <t>G값 guide</t>
    <phoneticPr fontId="1" type="noConversion"/>
  </si>
  <si>
    <t>예시 원금</t>
    <phoneticPr fontId="1" type="noConversion"/>
  </si>
  <si>
    <t>예시 적립금</t>
    <phoneticPr fontId="1" type="noConversion"/>
  </si>
  <si>
    <t>(V1)</t>
    <phoneticPr fontId="1" type="noConversion"/>
  </si>
  <si>
    <t>2사이클(1.19~1.29)</t>
    <phoneticPr fontId="1" type="noConversion"/>
  </si>
  <si>
    <t>최대밴드=V값*(곱하기)</t>
    <phoneticPr fontId="1" type="noConversion"/>
  </si>
  <si>
    <t>TQQQ적립식</t>
    <phoneticPr fontId="1" type="noConversion"/>
  </si>
  <si>
    <t>종가</t>
    <phoneticPr fontId="1" type="noConversion"/>
  </si>
  <si>
    <t>2차</t>
    <phoneticPr fontId="1" type="noConversion"/>
  </si>
  <si>
    <t>V3</t>
    <phoneticPr fontId="1" type="noConversion"/>
  </si>
  <si>
    <t>V(1~사이클)</t>
    <phoneticPr fontId="1" type="noConversion"/>
  </si>
  <si>
    <t>이전V값 + (이전pool/10)+250</t>
    <phoneticPr fontId="1" type="noConversion"/>
  </si>
  <si>
    <t>3사이클(2.1~2.12)</t>
    <phoneticPr fontId="1" type="noConversion"/>
  </si>
  <si>
    <r>
      <t>밸류 리밸런싱(VR)_</t>
    </r>
    <r>
      <rPr>
        <sz val="11"/>
        <color rgb="FFFF0000"/>
        <rFont val="맑은 고딕"/>
        <family val="3"/>
        <charset val="129"/>
        <scheme val="minor"/>
      </rPr>
      <t>적립식</t>
    </r>
    <phoneticPr fontId="1" type="noConversion"/>
  </si>
  <si>
    <t>* 적립식 VR은 사이클당 Pool의 75% 근처</t>
    <phoneticPr fontId="1" type="noConversion"/>
  </si>
  <si>
    <t>까지만 사용하므로, 추가5개까지만 매수시도</t>
    <phoneticPr fontId="1" type="noConversion"/>
  </si>
  <si>
    <t>* 매도 제한은 없음</t>
    <phoneticPr fontId="1" type="noConversion"/>
  </si>
  <si>
    <t>보유수량</t>
    <phoneticPr fontId="1" type="noConversion"/>
  </si>
  <si>
    <t>4사이클(2.16~3.1)</t>
    <phoneticPr fontId="1" type="noConversion"/>
  </si>
  <si>
    <t>VR</t>
    <phoneticPr fontId="1" type="noConversion"/>
  </si>
  <si>
    <t>v4</t>
    <phoneticPr fontId="1" type="noConversion"/>
  </si>
  <si>
    <t>pool의 25%값(75까지만 매수시도)</t>
    <phoneticPr fontId="1" type="noConversion"/>
  </si>
  <si>
    <t>V값 계산</t>
    <phoneticPr fontId="1" type="noConversion"/>
  </si>
  <si>
    <t>pool비율 0%</t>
    <phoneticPr fontId="1" type="noConversion"/>
  </si>
  <si>
    <t>TQQQ거치식</t>
    <phoneticPr fontId="1" type="noConversion"/>
  </si>
  <si>
    <t>pool비율 10~20%</t>
    <phoneticPr fontId="1" type="noConversion"/>
  </si>
  <si>
    <t>V2=V1+(pool/G)</t>
    <phoneticPr fontId="1" type="noConversion"/>
  </si>
  <si>
    <t>거치원금</t>
    <phoneticPr fontId="1" type="noConversion"/>
  </si>
  <si>
    <t>첫 pool(10%)</t>
    <phoneticPr fontId="1" type="noConversion"/>
  </si>
  <si>
    <t>pool의 50%값(50%까지만 매수시도)</t>
    <phoneticPr fontId="1" type="noConversion"/>
  </si>
  <si>
    <t>fifth_마지막평가금(=종가*보유수량)</t>
    <phoneticPr fontId="1" type="noConversion"/>
  </si>
  <si>
    <t>작성일</t>
    <phoneticPr fontId="1" type="noConversion"/>
  </si>
  <si>
    <t>sixth_보유개수 기입과 오름/내림차순 드래그</t>
    <phoneticPr fontId="1" type="noConversion"/>
  </si>
  <si>
    <t>first_1전일 체결후 보유개수</t>
    <phoneticPr fontId="1" type="noConversion"/>
  </si>
  <si>
    <t>first_1매수체결수량</t>
    <phoneticPr fontId="1" type="noConversion"/>
  </si>
  <si>
    <t>★third</t>
    <phoneticPr fontId="1" type="noConversion"/>
  </si>
  <si>
    <t>second_2매도체결수량</t>
    <phoneticPr fontId="1" type="noConversion"/>
  </si>
  <si>
    <t>fourth_1</t>
    <phoneticPr fontId="1" type="noConversion"/>
  </si>
  <si>
    <t>fourth_2</t>
    <phoneticPr fontId="1" type="noConversion"/>
  </si>
  <si>
    <t>first_1지점 pool금액=&gt;매수표에 복사</t>
    <phoneticPr fontId="1" type="noConversion"/>
  </si>
  <si>
    <t>second_2지점 pool금액=&gt;매수표에 복사</t>
    <phoneticPr fontId="1" type="noConversion"/>
  </si>
  <si>
    <t>V2=V1+(pool/G)-적립금</t>
    <phoneticPr fontId="1" type="noConversion"/>
  </si>
  <si>
    <r>
      <t>밸류 리밸런싱(VR)_</t>
    </r>
    <r>
      <rPr>
        <sz val="11"/>
        <color rgb="FFFF0000"/>
        <rFont val="맑은 고딕"/>
        <family val="3"/>
        <charset val="129"/>
        <scheme val="minor"/>
      </rPr>
      <t>인출식</t>
    </r>
    <phoneticPr fontId="1" type="noConversion"/>
  </si>
  <si>
    <r>
      <t>밸류 리밸런싱(VR)_</t>
    </r>
    <r>
      <rPr>
        <sz val="11"/>
        <color rgb="FFFF0000"/>
        <rFont val="맑은 고딕"/>
        <family val="3"/>
        <charset val="129"/>
        <scheme val="minor"/>
      </rPr>
      <t>거치식</t>
    </r>
    <phoneticPr fontId="1" type="noConversion"/>
  </si>
  <si>
    <t>예시 인출금</t>
    <phoneticPr fontId="1" type="noConversion"/>
  </si>
  <si>
    <t>pool비율 20~30% (예시20%)</t>
    <phoneticPr fontId="1" type="noConversion"/>
  </si>
  <si>
    <t>TQQQ인출식</t>
    <phoneticPr fontId="1" type="noConversion"/>
  </si>
  <si>
    <t>(* 적립/거치G=10임)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</si>
  <si>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or 큰수</t>
    </r>
    <r>
      <rPr>
        <sz val="9"/>
        <color rgb="FFFF0000"/>
        <rFont val="맑은 고딕"/>
        <family val="3"/>
        <charset val="129"/>
        <scheme val="minor"/>
      </rPr>
      <t xml:space="preserve">란? </t>
    </r>
    <r>
      <rPr>
        <sz val="9"/>
        <color rgb="FF0070C0"/>
        <rFont val="맑은 고딕"/>
        <family val="3"/>
        <charset val="129"/>
        <scheme val="minor"/>
      </rPr>
      <t xml:space="preserve">최근 급락경우 ★보다 너무 낮으면 </t>
    </r>
    <r>
      <rPr>
        <sz val="9"/>
        <color rgb="FFFF0000"/>
        <rFont val="맑은 고딕"/>
        <family val="3"/>
        <charset val="129"/>
        <scheme val="minor"/>
      </rPr>
      <t>전일종가의 10~15%</t>
    </r>
    <r>
      <rPr>
        <sz val="9"/>
        <color rgb="FF0070C0"/>
        <rFont val="맑은 고딕"/>
        <family val="3"/>
        <charset val="129"/>
        <scheme val="minor"/>
      </rPr>
      <t>로 모든수량을 LOC매수</t>
    </r>
    <phoneticPr fontId="1" type="noConversion"/>
  </si>
  <si>
    <t>★%=(20-최근T)%</t>
    <phoneticPr fontId="1" type="noConversion"/>
  </si>
  <si>
    <t>회차 매수시도액(잔금/(40-최근T)</t>
    <phoneticPr fontId="1" type="noConversion"/>
  </si>
  <si>
    <t>큰수 기준가</t>
    <phoneticPr fontId="1" type="noConversion"/>
  </si>
  <si>
    <t>1/4외 3/4 나머지</t>
    <phoneticPr fontId="1" type="noConversion"/>
  </si>
  <si>
    <t>★지점</t>
    <phoneticPr fontId="1" type="noConversion"/>
  </si>
  <si>
    <r>
      <rPr>
        <sz val="10"/>
        <color rgb="FF0070C0"/>
        <rFont val="맑은 고딕"/>
        <family val="3"/>
        <charset val="129"/>
        <scheme val="minor"/>
      </rPr>
      <t>평단*120%</t>
    </r>
    <r>
      <rPr>
        <b/>
        <sz val="10"/>
        <color rgb="FFFF0000"/>
        <rFont val="맑은 고딕"/>
        <family val="3"/>
        <charset val="129"/>
        <scheme val="minor"/>
      </rPr>
      <t>지정가</t>
    </r>
    <phoneticPr fontId="1" type="noConversion"/>
  </si>
  <si>
    <r>
      <t>★지점</t>
    </r>
    <r>
      <rPr>
        <sz val="11"/>
        <color rgb="FFFF0000"/>
        <rFont val="맑은 고딕"/>
        <family val="3"/>
        <charset val="129"/>
        <scheme val="minor"/>
      </rPr>
      <t xml:space="preserve"> LOC</t>
    </r>
    <phoneticPr fontId="1" type="noConversion"/>
  </si>
  <si>
    <r>
      <t>회차</t>
    </r>
    <r>
      <rPr>
        <b/>
        <sz val="8"/>
        <color rgb="FFFF0000"/>
        <rFont val="맑은 고딕"/>
        <family val="3"/>
        <charset val="129"/>
        <scheme val="minor"/>
      </rPr>
      <t>T&gt;20</t>
    </r>
    <r>
      <rPr>
        <sz val="8"/>
        <color theme="1"/>
        <rFont val="맑은 고딕"/>
        <family val="2"/>
        <charset val="129"/>
        <scheme val="minor"/>
      </rPr>
      <t>소진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</si>
</sst>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_ "/>
    <numFmt numFmtId="178" formatCode="mm&quot;월&quot;\ dd&quot;일&quot;"/>
  </numFmts>
  <fonts count="3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7"/>
      <color rgb="FFC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70C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6" fillId="0" borderId="0" xfId="0" applyFont="1">
      <alignment vertical="center"/>
    </xf>
    <xf numFmtId="0" fontId="7" fillId="4" borderId="0" xfId="0" applyFont="1" applyFill="1">
      <alignment vertical="center"/>
    </xf>
    <xf numFmtId="0" fontId="0" fillId="13" borderId="0" xfId="0" applyFill="1">
      <alignment vertical="center"/>
    </xf>
    <xf numFmtId="2" fontId="0" fillId="11" borderId="0" xfId="0" applyNumberFormat="1" applyFill="1">
      <alignment vertical="center"/>
    </xf>
    <xf numFmtId="2" fontId="0" fillId="8" borderId="0" xfId="0" applyNumberFormat="1" applyFill="1">
      <alignment vertical="center"/>
    </xf>
    <xf numFmtId="0" fontId="9" fillId="8" borderId="0" xfId="0" applyFont="1" applyFill="1">
      <alignment vertical="center"/>
    </xf>
    <xf numFmtId="176" fontId="0" fillId="0" borderId="0" xfId="1" applyNumberFormat="1" applyFont="1">
      <alignment vertical="center"/>
    </xf>
    <xf numFmtId="0" fontId="10" fillId="0" borderId="0" xfId="0" applyFont="1">
      <alignment vertical="center"/>
    </xf>
    <xf numFmtId="2" fontId="0" fillId="6" borderId="0" xfId="0" applyNumberFormat="1" applyFill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12" fillId="0" borderId="0" xfId="0" applyFont="1">
      <alignment vertical="center"/>
    </xf>
    <xf numFmtId="0" fontId="13" fillId="4" borderId="0" xfId="0" applyFont="1" applyFill="1">
      <alignment vertical="center"/>
    </xf>
    <xf numFmtId="0" fontId="14" fillId="0" borderId="0" xfId="0" applyFont="1">
      <alignment vertical="center"/>
    </xf>
    <xf numFmtId="0" fontId="0" fillId="12" borderId="0" xfId="0" applyFill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4" borderId="0" xfId="0" applyFont="1" applyFill="1">
      <alignment vertical="center"/>
    </xf>
    <xf numFmtId="0" fontId="17" fillId="8" borderId="0" xfId="0" applyFont="1" applyFill="1">
      <alignment vertical="center"/>
    </xf>
    <xf numFmtId="2" fontId="0" fillId="0" borderId="0" xfId="0" applyNumberFormat="1">
      <alignment vertical="center"/>
    </xf>
    <xf numFmtId="0" fontId="18" fillId="0" borderId="0" xfId="0" applyFont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19" fillId="0" borderId="0" xfId="0" applyFont="1">
      <alignment vertical="center"/>
    </xf>
    <xf numFmtId="0" fontId="11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17" borderId="0" xfId="0" applyFill="1">
      <alignment vertical="center"/>
    </xf>
    <xf numFmtId="0" fontId="0" fillId="14" borderId="0" xfId="0" applyFill="1">
      <alignment vertical="center"/>
    </xf>
    <xf numFmtId="0" fontId="0" fillId="18" borderId="0" xfId="0" applyFill="1">
      <alignment vertical="center"/>
    </xf>
    <xf numFmtId="0" fontId="22" fillId="0" borderId="0" xfId="0" applyFont="1">
      <alignment vertical="center"/>
    </xf>
    <xf numFmtId="0" fontId="11" fillId="17" borderId="0" xfId="0" applyFont="1" applyFill="1">
      <alignment vertical="center"/>
    </xf>
    <xf numFmtId="0" fontId="20" fillId="17" borderId="0" xfId="0" applyFont="1" applyFill="1">
      <alignment vertical="center"/>
    </xf>
    <xf numFmtId="0" fontId="23" fillId="0" borderId="0" xfId="0" applyFont="1">
      <alignment vertical="center"/>
    </xf>
    <xf numFmtId="177" fontId="0" fillId="0" borderId="0" xfId="0" applyNumberFormat="1">
      <alignment vertical="center"/>
    </xf>
    <xf numFmtId="0" fontId="0" fillId="19" borderId="0" xfId="0" applyFill="1">
      <alignment vertical="center"/>
    </xf>
    <xf numFmtId="0" fontId="11" fillId="19" borderId="0" xfId="0" applyFont="1" applyFill="1">
      <alignment vertical="center"/>
    </xf>
    <xf numFmtId="0" fontId="24" fillId="19" borderId="0" xfId="0" applyFont="1" applyFill="1">
      <alignment vertical="center"/>
    </xf>
    <xf numFmtId="0" fontId="10" fillId="19" borderId="0" xfId="0" applyFont="1" applyFill="1">
      <alignment vertical="center"/>
    </xf>
    <xf numFmtId="0" fontId="5" fillId="19" borderId="0" xfId="0" applyFont="1" applyFill="1">
      <alignment vertical="center"/>
    </xf>
    <xf numFmtId="0" fontId="11" fillId="9" borderId="0" xfId="0" applyFont="1" applyFill="1">
      <alignment vertical="center"/>
    </xf>
    <xf numFmtId="0" fontId="8" fillId="17" borderId="0" xfId="0" applyFont="1" applyFill="1">
      <alignment vertical="center"/>
    </xf>
    <xf numFmtId="0" fontId="0" fillId="11" borderId="0" xfId="0" applyFill="1">
      <alignment vertical="center"/>
    </xf>
    <xf numFmtId="0" fontId="25" fillId="17" borderId="0" xfId="0" applyFont="1" applyFill="1">
      <alignment vertical="center"/>
    </xf>
    <xf numFmtId="0" fontId="0" fillId="23" borderId="0" xfId="0" applyFill="1">
      <alignment vertical="center"/>
    </xf>
    <xf numFmtId="2" fontId="10" fillId="0" borderId="0" xfId="0" applyNumberFormat="1" applyFont="1">
      <alignment vertical="center"/>
    </xf>
    <xf numFmtId="2" fontId="0" fillId="2" borderId="0" xfId="0" applyNumberFormat="1" applyFill="1">
      <alignment vertical="center"/>
    </xf>
    <xf numFmtId="2" fontId="0" fillId="20" borderId="0" xfId="0" applyNumberFormat="1" applyFill="1">
      <alignment vertical="center"/>
    </xf>
    <xf numFmtId="0" fontId="0" fillId="0" borderId="1" xfId="0" applyBorder="1">
      <alignment vertical="center"/>
    </xf>
    <xf numFmtId="0" fontId="0" fillId="17" borderId="1" xfId="0" applyFill="1" applyBorder="1">
      <alignment vertical="center"/>
    </xf>
    <xf numFmtId="0" fontId="0" fillId="21" borderId="1" xfId="0" applyFill="1" applyBorder="1">
      <alignment vertical="center"/>
    </xf>
    <xf numFmtId="0" fontId="0" fillId="15" borderId="1" xfId="0" applyFill="1" applyBorder="1">
      <alignment vertical="center"/>
    </xf>
    <xf numFmtId="0" fontId="11" fillId="9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8" fillId="2" borderId="1" xfId="0" applyFont="1" applyFill="1" applyBorder="1">
      <alignment vertical="center"/>
    </xf>
    <xf numFmtId="0" fontId="18" fillId="2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6" borderId="1" xfId="0" applyFill="1" applyBorder="1">
      <alignment vertical="center"/>
    </xf>
    <xf numFmtId="2" fontId="0" fillId="6" borderId="1" xfId="0" applyNumberFormat="1" applyFill="1" applyBorder="1">
      <alignment vertical="center"/>
    </xf>
    <xf numFmtId="0" fontId="0" fillId="20" borderId="1" xfId="0" applyFill="1" applyBorder="1">
      <alignment vertical="center"/>
    </xf>
    <xf numFmtId="0" fontId="0" fillId="11" borderId="1" xfId="0" applyFill="1" applyBorder="1">
      <alignment vertical="center"/>
    </xf>
    <xf numFmtId="2" fontId="0" fillId="11" borderId="1" xfId="0" applyNumberFormat="1" applyFill="1" applyBorder="1">
      <alignment vertical="center"/>
    </xf>
    <xf numFmtId="0" fontId="11" fillId="17" borderId="1" xfId="0" applyFont="1" applyFill="1" applyBorder="1">
      <alignment vertical="center"/>
    </xf>
    <xf numFmtId="9" fontId="0" fillId="0" borderId="0" xfId="0" applyNumberFormat="1">
      <alignment vertical="center"/>
    </xf>
    <xf numFmtId="0" fontId="0" fillId="19" borderId="1" xfId="0" applyFill="1" applyBorder="1">
      <alignment vertical="center"/>
    </xf>
    <xf numFmtId="0" fontId="0" fillId="20" borderId="0" xfId="0" applyFill="1">
      <alignment vertical="center"/>
    </xf>
    <xf numFmtId="178" fontId="0" fillId="24" borderId="0" xfId="0" applyNumberFormat="1" applyFill="1">
      <alignment vertical="center"/>
    </xf>
    <xf numFmtId="0" fontId="0" fillId="24" borderId="0" xfId="0" applyFill="1">
      <alignment vertical="center"/>
    </xf>
    <xf numFmtId="0" fontId="26" fillId="0" borderId="0" xfId="0" applyFont="1">
      <alignment vertical="center"/>
    </xf>
    <xf numFmtId="0" fontId="10" fillId="9" borderId="0" xfId="0" applyFont="1" applyFill="1">
      <alignment vertical="center"/>
    </xf>
    <xf numFmtId="2" fontId="10" fillId="9" borderId="0" xfId="0" applyNumberFormat="1" applyFont="1" applyFill="1">
      <alignment vertical="center"/>
    </xf>
    <xf numFmtId="0" fontId="0" fillId="25" borderId="0" xfId="0" applyFill="1">
      <alignment vertical="center"/>
    </xf>
    <xf numFmtId="178" fontId="0" fillId="25" borderId="0" xfId="0" applyNumberFormat="1" applyFill="1">
      <alignment vertical="center"/>
    </xf>
    <xf numFmtId="0" fontId="27" fillId="0" borderId="0" xfId="0" applyFont="1">
      <alignment vertical="center"/>
    </xf>
    <xf numFmtId="10" fontId="0" fillId="9" borderId="0" xfId="0" applyNumberFormat="1" applyFill="1">
      <alignment vertical="center"/>
    </xf>
    <xf numFmtId="2" fontId="7" fillId="0" borderId="0" xfId="0" applyNumberFormat="1" applyFont="1">
      <alignment vertical="center"/>
    </xf>
    <xf numFmtId="2" fontId="0" fillId="11" borderId="2" xfId="0" applyNumberFormat="1" applyFill="1" applyBorder="1">
      <alignment vertical="center"/>
    </xf>
    <xf numFmtId="0" fontId="10" fillId="8" borderId="2" xfId="0" applyFont="1" applyFill="1" applyBorder="1">
      <alignment vertical="center"/>
    </xf>
    <xf numFmtId="2" fontId="0" fillId="6" borderId="2" xfId="0" applyNumberFormat="1" applyFill="1" applyBorder="1">
      <alignment vertical="center"/>
    </xf>
    <xf numFmtId="0" fontId="0" fillId="10" borderId="2" xfId="0" applyFill="1" applyBorder="1">
      <alignment vertical="center"/>
    </xf>
    <xf numFmtId="0" fontId="17" fillId="8" borderId="2" xfId="0" applyFont="1" applyFill="1" applyBorder="1">
      <alignment vertical="center"/>
    </xf>
    <xf numFmtId="0" fontId="9" fillId="8" borderId="2" xfId="0" applyFont="1" applyFill="1" applyBorder="1">
      <alignment vertical="center"/>
    </xf>
    <xf numFmtId="0" fontId="0" fillId="2" borderId="2" xfId="0" applyFill="1" applyBorder="1">
      <alignment vertical="center"/>
    </xf>
    <xf numFmtId="0" fontId="26" fillId="8" borderId="0" xfId="0" applyFont="1" applyFill="1">
      <alignment vertical="center"/>
    </xf>
    <xf numFmtId="0" fontId="28" fillId="9" borderId="0" xfId="0" applyFont="1" applyFill="1">
      <alignment vertical="center"/>
    </xf>
    <xf numFmtId="0" fontId="28" fillId="8" borderId="0" xfId="0" applyFont="1" applyFill="1">
      <alignment vertical="center"/>
    </xf>
    <xf numFmtId="0" fontId="28" fillId="18" borderId="0" xfId="0" applyFont="1" applyFill="1">
      <alignment vertical="center"/>
    </xf>
    <xf numFmtId="0" fontId="28" fillId="11" borderId="0" xfId="0" applyFont="1" applyFill="1">
      <alignment vertical="center"/>
    </xf>
    <xf numFmtId="0" fontId="28" fillId="0" borderId="0" xfId="0" applyFont="1">
      <alignment vertical="center"/>
    </xf>
    <xf numFmtId="10" fontId="28" fillId="0" borderId="0" xfId="1" applyNumberFormat="1" applyFont="1">
      <alignment vertical="center"/>
    </xf>
    <xf numFmtId="2" fontId="10" fillId="20" borderId="4" xfId="0" applyNumberFormat="1" applyFont="1" applyFill="1" applyBorder="1" applyAlignment="1">
      <alignment horizontal="center" vertical="center"/>
    </xf>
    <xf numFmtId="0" fontId="0" fillId="20" borderId="5" xfId="0" applyFill="1" applyBorder="1">
      <alignment vertical="center"/>
    </xf>
    <xf numFmtId="0" fontId="28" fillId="20" borderId="6" xfId="0" applyFont="1" applyFill="1" applyBorder="1" applyAlignment="1">
      <alignment horizontal="center" vertical="center"/>
    </xf>
    <xf numFmtId="9" fontId="28" fillId="20" borderId="3" xfId="0" applyNumberFormat="1" applyFont="1" applyFill="1" applyBorder="1">
      <alignment vertical="center"/>
    </xf>
    <xf numFmtId="0" fontId="2" fillId="18" borderId="0" xfId="0" applyFont="1" applyFill="1">
      <alignment vertical="center"/>
    </xf>
    <xf numFmtId="0" fontId="26" fillId="18" borderId="0" xfId="0" applyFont="1" applyFill="1">
      <alignment vertical="center"/>
    </xf>
    <xf numFmtId="0" fontId="10" fillId="22" borderId="0" xfId="0" applyFont="1" applyFill="1">
      <alignment vertical="center"/>
    </xf>
    <xf numFmtId="0" fontId="5" fillId="22" borderId="0" xfId="0" applyFont="1" applyFill="1">
      <alignment vertical="center"/>
    </xf>
    <xf numFmtId="0" fontId="10" fillId="2" borderId="0" xfId="0" applyFont="1" applyFill="1">
      <alignment vertical="center"/>
    </xf>
    <xf numFmtId="0" fontId="0" fillId="7" borderId="7" xfId="0" applyFill="1" applyBorder="1">
      <alignment vertical="center"/>
    </xf>
    <xf numFmtId="0" fontId="0" fillId="7" borderId="8" xfId="0" applyFill="1" applyBorder="1">
      <alignment vertical="center"/>
    </xf>
    <xf numFmtId="0" fontId="28" fillId="2" borderId="0" xfId="0" applyFont="1" applyFill="1">
      <alignment vertical="center"/>
    </xf>
    <xf numFmtId="0" fontId="26" fillId="10" borderId="2" xfId="0" applyFont="1" applyFill="1" applyBorder="1">
      <alignment vertical="center"/>
    </xf>
    <xf numFmtId="0" fontId="11" fillId="15" borderId="0" xfId="0" applyFont="1" applyFill="1">
      <alignment vertical="center"/>
    </xf>
    <xf numFmtId="0" fontId="23" fillId="2" borderId="0" xfId="0" applyFont="1" applyFill="1">
      <alignment vertical="center"/>
    </xf>
    <xf numFmtId="0" fontId="11" fillId="18" borderId="0" xfId="0" applyFont="1" applyFill="1">
      <alignment vertical="center"/>
    </xf>
    <xf numFmtId="0" fontId="20" fillId="18" borderId="0" xfId="0" applyFont="1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CB2A-2A46-4E8E-82AD-6272F1143362}">
  <dimension ref="A1:G18"/>
  <sheetViews>
    <sheetView workbookViewId="0">
      <selection activeCell="F17" sqref="F17"/>
    </sheetView>
  </sheetViews>
  <sheetFormatPr defaultRowHeight="17"/>
  <cols>
    <col min="3" max="3" width="9.58203125" customWidth="1"/>
    <col min="5" max="5" width="10" customWidth="1"/>
  </cols>
  <sheetData>
    <row r="1" spans="1:7">
      <c r="B1" t="s">
        <v>3</v>
      </c>
      <c r="C1" t="s">
        <v>6</v>
      </c>
    </row>
    <row r="2" spans="1:7">
      <c r="A2">
        <v>1</v>
      </c>
      <c r="B2" t="s">
        <v>1</v>
      </c>
    </row>
    <row r="3" spans="1:7">
      <c r="B3" t="s">
        <v>0</v>
      </c>
      <c r="C3">
        <v>10000</v>
      </c>
      <c r="D3" t="s">
        <v>16</v>
      </c>
    </row>
    <row r="4" spans="1:7">
      <c r="B4" t="s">
        <v>2</v>
      </c>
      <c r="C4">
        <v>40</v>
      </c>
      <c r="D4">
        <f>C3/C4</f>
        <v>250</v>
      </c>
    </row>
    <row r="6" spans="1:7">
      <c r="A6">
        <v>2</v>
      </c>
      <c r="B6" t="s">
        <v>4</v>
      </c>
    </row>
    <row r="7" spans="1:7">
      <c r="B7" t="s">
        <v>5</v>
      </c>
    </row>
    <row r="9" spans="1:7">
      <c r="A9">
        <v>3</v>
      </c>
      <c r="B9" t="s">
        <v>8</v>
      </c>
    </row>
    <row r="10" spans="1:7">
      <c r="C10" t="s">
        <v>9</v>
      </c>
      <c r="D10">
        <v>72.64</v>
      </c>
      <c r="E10" t="s">
        <v>12</v>
      </c>
      <c r="F10">
        <v>40</v>
      </c>
    </row>
    <row r="11" spans="1:7">
      <c r="C11" t="s">
        <v>10</v>
      </c>
      <c r="D11">
        <v>3</v>
      </c>
      <c r="E11" t="s">
        <v>13</v>
      </c>
      <c r="F11">
        <v>1</v>
      </c>
    </row>
    <row r="12" spans="1:7">
      <c r="C12" t="s">
        <v>11</v>
      </c>
      <c r="D12" t="s">
        <v>17</v>
      </c>
      <c r="E12" t="s">
        <v>15</v>
      </c>
      <c r="F12">
        <f>15-0.75*1</f>
        <v>14.25</v>
      </c>
      <c r="G12" t="s">
        <v>14</v>
      </c>
    </row>
    <row r="13" spans="1:7">
      <c r="B13" t="s">
        <v>20</v>
      </c>
      <c r="C13" t="s">
        <v>18</v>
      </c>
      <c r="D13" s="1" t="s">
        <v>7</v>
      </c>
      <c r="E13" s="1">
        <f>72.64*114.25%</f>
        <v>82.991200000000006</v>
      </c>
      <c r="F13" t="s">
        <v>22</v>
      </c>
    </row>
    <row r="14" spans="1:7">
      <c r="B14" t="s">
        <v>21</v>
      </c>
      <c r="C14" t="s">
        <v>19</v>
      </c>
      <c r="D14" s="2" t="s">
        <v>7</v>
      </c>
      <c r="E14" s="2"/>
    </row>
    <row r="15" spans="1:7">
      <c r="D15" t="s">
        <v>25</v>
      </c>
    </row>
    <row r="16" spans="1:7">
      <c r="A16">
        <v>4</v>
      </c>
      <c r="B16" t="s">
        <v>23</v>
      </c>
      <c r="C16">
        <v>250</v>
      </c>
      <c r="D16">
        <f>C3-C16</f>
        <v>9750</v>
      </c>
    </row>
    <row r="17" spans="2:4">
      <c r="B17" t="s">
        <v>24</v>
      </c>
      <c r="C17">
        <f>D16/40-1</f>
        <v>242.75</v>
      </c>
      <c r="D17">
        <f>10000-C16-C17</f>
        <v>9507.25</v>
      </c>
    </row>
    <row r="18" spans="2:4">
      <c r="B18" t="s">
        <v>26</v>
      </c>
      <c r="C18">
        <f>D17/(40-2)</f>
        <v>250.19078947368422</v>
      </c>
      <c r="D18">
        <f>D17-C18</f>
        <v>9257.0592105263149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964A-E41F-4147-BBA7-4D5C91DEDFF9}">
  <dimension ref="A1:V61"/>
  <sheetViews>
    <sheetView workbookViewId="0">
      <selection activeCell="G14" sqref="G14"/>
    </sheetView>
  </sheetViews>
  <sheetFormatPr defaultRowHeight="17"/>
  <cols>
    <col min="1" max="1" width="10.9140625" bestFit="1" customWidth="1"/>
    <col min="2" max="2" width="6.75" customWidth="1"/>
    <col min="3" max="3" width="5.58203125" customWidth="1"/>
    <col min="4" max="4" width="6.83203125" customWidth="1"/>
    <col min="5" max="5" width="4.4140625" customWidth="1"/>
    <col min="6" max="6" width="6.6640625" customWidth="1"/>
    <col min="7" max="7" width="9.08203125" customWidth="1"/>
    <col min="8" max="8" width="7" customWidth="1"/>
    <col min="9" max="9" width="4.6640625" customWidth="1"/>
    <col min="11" max="11" width="6.58203125" customWidth="1"/>
    <col min="12" max="12" width="8.6640625" customWidth="1"/>
    <col min="13" max="13" width="8.1640625" style="9" customWidth="1"/>
    <col min="14" max="14" width="8" style="9" customWidth="1"/>
    <col min="15" max="15" width="14.08203125" customWidth="1"/>
    <col min="16" max="16" width="11.25" customWidth="1"/>
    <col min="19" max="19" width="9.5" customWidth="1"/>
  </cols>
  <sheetData>
    <row r="1" spans="1:22">
      <c r="A1" s="3" t="s">
        <v>43</v>
      </c>
      <c r="B1" t="s">
        <v>27</v>
      </c>
      <c r="C1" s="9" t="s">
        <v>28</v>
      </c>
      <c r="D1" s="52" t="s">
        <v>183</v>
      </c>
      <c r="E1" t="s">
        <v>29</v>
      </c>
      <c r="F1" s="115" t="s">
        <v>30</v>
      </c>
      <c r="G1" s="114" t="s">
        <v>186</v>
      </c>
      <c r="H1" t="s">
        <v>31</v>
      </c>
      <c r="I1" s="34" t="s">
        <v>32</v>
      </c>
      <c r="J1" t="s">
        <v>33</v>
      </c>
      <c r="K1" s="34" t="s">
        <v>44</v>
      </c>
      <c r="L1" s="116" t="s">
        <v>52</v>
      </c>
      <c r="M1" s="9" t="s">
        <v>45</v>
      </c>
      <c r="N1" s="9" t="s">
        <v>46</v>
      </c>
      <c r="O1" s="2" t="s">
        <v>0</v>
      </c>
      <c r="P1" s="2">
        <v>6500</v>
      </c>
      <c r="Q1" s="2">
        <v>40</v>
      </c>
    </row>
    <row r="2" spans="1:22">
      <c r="A2" s="4">
        <v>46217</v>
      </c>
      <c r="B2" s="93">
        <v>41.2</v>
      </c>
      <c r="C2" s="94">
        <v>41.2</v>
      </c>
      <c r="D2" s="97"/>
      <c r="E2" s="95">
        <v>3</v>
      </c>
      <c r="F2" s="96">
        <v>3</v>
      </c>
      <c r="G2" s="111">
        <v>1</v>
      </c>
      <c r="H2" s="98"/>
      <c r="I2" s="98">
        <f t="shared" ref="I2:I10" si="0">B2*E2*0.25%</f>
        <v>0.30900000000000005</v>
      </c>
      <c r="J2" s="98"/>
      <c r="K2" s="98">
        <f t="shared" ref="K2:K10" si="1">B2*E2</f>
        <v>123.60000000000001</v>
      </c>
      <c r="L2" s="96"/>
      <c r="O2" s="31" t="s">
        <v>79</v>
      </c>
      <c r="P2" s="21" t="s">
        <v>38</v>
      </c>
    </row>
    <row r="3" spans="1:22">
      <c r="A3" s="4">
        <v>46218</v>
      </c>
      <c r="B3" s="93">
        <v>42.24</v>
      </c>
      <c r="C3" s="94">
        <v>41.46</v>
      </c>
      <c r="D3" s="97"/>
      <c r="E3" s="95">
        <v>1</v>
      </c>
      <c r="F3" s="96">
        <v>4</v>
      </c>
      <c r="G3" s="111">
        <v>1.5</v>
      </c>
      <c r="H3" s="99">
        <f>B3/C3-1</f>
        <v>1.881331403762676E-2</v>
      </c>
      <c r="I3" s="98">
        <f t="shared" si="0"/>
        <v>0.10560000000000001</v>
      </c>
      <c r="J3" s="98"/>
      <c r="K3" s="98">
        <f t="shared" si="1"/>
        <v>42.24</v>
      </c>
      <c r="L3" s="96">
        <f>K2+K3</f>
        <v>165.84</v>
      </c>
      <c r="R3" t="s">
        <v>48</v>
      </c>
    </row>
    <row r="4" spans="1:22">
      <c r="A4" s="4">
        <v>46219</v>
      </c>
      <c r="B4" s="93">
        <v>45.13</v>
      </c>
      <c r="C4" s="94">
        <v>42.194000000000003</v>
      </c>
      <c r="D4" s="97"/>
      <c r="E4" s="95">
        <v>1</v>
      </c>
      <c r="F4" s="96">
        <f>F3+E4</f>
        <v>5</v>
      </c>
      <c r="G4" s="111">
        <v>2</v>
      </c>
      <c r="H4" s="99">
        <f t="shared" ref="H4:H5" si="2">B4/C4-1</f>
        <v>6.9583353083376709E-2</v>
      </c>
      <c r="I4" s="98">
        <f t="shared" si="0"/>
        <v>0.11282500000000001</v>
      </c>
      <c r="J4" s="98"/>
      <c r="K4" s="98">
        <f t="shared" si="1"/>
        <v>45.13</v>
      </c>
      <c r="L4" s="96">
        <f t="shared" ref="L4:L10" si="3">L3+K4</f>
        <v>210.97</v>
      </c>
      <c r="O4" s="5" t="s">
        <v>42</v>
      </c>
      <c r="P4" s="11" t="s">
        <v>34</v>
      </c>
      <c r="Q4" t="s">
        <v>35</v>
      </c>
      <c r="R4" s="6">
        <v>162.5</v>
      </c>
    </row>
    <row r="5" spans="1:22">
      <c r="A5" s="4">
        <v>46220</v>
      </c>
      <c r="B5" s="93">
        <v>41.26</v>
      </c>
      <c r="C5" s="94">
        <v>41.77</v>
      </c>
      <c r="D5" s="97"/>
      <c r="E5" s="95">
        <v>4</v>
      </c>
      <c r="F5" s="96">
        <f>F4+E5</f>
        <v>9</v>
      </c>
      <c r="G5" s="111">
        <v>3</v>
      </c>
      <c r="H5" s="99">
        <f t="shared" si="2"/>
        <v>-1.2209719894661353E-2</v>
      </c>
      <c r="I5" s="98">
        <f t="shared" si="0"/>
        <v>0.41259999999999997</v>
      </c>
      <c r="J5" s="98"/>
      <c r="K5" s="98">
        <f t="shared" si="1"/>
        <v>165.04</v>
      </c>
      <c r="L5" s="96">
        <f t="shared" si="3"/>
        <v>376.01</v>
      </c>
      <c r="O5" s="109" t="s">
        <v>37</v>
      </c>
      <c r="P5" s="1" t="s">
        <v>36</v>
      </c>
      <c r="Q5" s="1">
        <v>45.24</v>
      </c>
      <c r="R5">
        <v>3</v>
      </c>
    </row>
    <row r="6" spans="1:22">
      <c r="A6" s="4">
        <v>46223</v>
      </c>
      <c r="B6" s="93">
        <v>38.799999999999997</v>
      </c>
      <c r="C6" s="94">
        <v>40.86</v>
      </c>
      <c r="D6" s="97"/>
      <c r="E6" s="95">
        <v>4</v>
      </c>
      <c r="F6" s="96">
        <f>F5+E6</f>
        <v>13</v>
      </c>
      <c r="G6" s="111">
        <v>4</v>
      </c>
      <c r="H6" s="99">
        <f>B6/C6-1</f>
        <v>-5.0416054821341261E-2</v>
      </c>
      <c r="I6" s="98">
        <f t="shared" si="0"/>
        <v>0.38799999999999996</v>
      </c>
      <c r="J6" s="98"/>
      <c r="K6" s="98">
        <f t="shared" si="1"/>
        <v>155.19999999999999</v>
      </c>
      <c r="L6" s="96">
        <f t="shared" si="3"/>
        <v>531.21</v>
      </c>
      <c r="O6" s="110">
        <v>38.950000000000003</v>
      </c>
      <c r="Q6" s="7">
        <v>40.619999999999997</v>
      </c>
      <c r="R6">
        <v>1</v>
      </c>
    </row>
    <row r="7" spans="1:22">
      <c r="A7" s="4">
        <v>46224</v>
      </c>
      <c r="B7" s="93">
        <v>38.18</v>
      </c>
      <c r="C7" s="94">
        <v>40.11</v>
      </c>
      <c r="D7" s="97"/>
      <c r="E7" s="95">
        <v>5</v>
      </c>
      <c r="F7" s="96">
        <v>18</v>
      </c>
      <c r="G7" s="111">
        <v>5</v>
      </c>
      <c r="H7" s="99">
        <f>B7/C7-1</f>
        <v>-4.8117676389927699E-2</v>
      </c>
      <c r="I7" s="98">
        <f t="shared" si="0"/>
        <v>0.47725000000000001</v>
      </c>
      <c r="J7" s="98"/>
      <c r="K7" s="98">
        <f t="shared" si="1"/>
        <v>190.9</v>
      </c>
      <c r="L7" s="96">
        <f t="shared" si="3"/>
        <v>722.11</v>
      </c>
      <c r="Q7" s="7">
        <v>32.5</v>
      </c>
      <c r="R7">
        <v>1</v>
      </c>
    </row>
    <row r="8" spans="1:22">
      <c r="A8" s="4">
        <v>46225</v>
      </c>
      <c r="B8" s="93">
        <v>38.81</v>
      </c>
      <c r="C8" s="94">
        <v>39.869999999999997</v>
      </c>
      <c r="D8" s="97">
        <v>45.45</v>
      </c>
      <c r="E8" s="95">
        <v>4</v>
      </c>
      <c r="F8" s="96">
        <v>22</v>
      </c>
      <c r="G8" s="111">
        <v>6</v>
      </c>
      <c r="H8" s="99">
        <f>B8/C8-1</f>
        <v>-2.6586405818911363E-2</v>
      </c>
      <c r="I8" s="98">
        <f t="shared" si="0"/>
        <v>0.38810000000000006</v>
      </c>
      <c r="K8" s="98">
        <f t="shared" si="1"/>
        <v>155.24</v>
      </c>
      <c r="L8" s="96">
        <f t="shared" si="3"/>
        <v>877.35</v>
      </c>
      <c r="Q8" s="7">
        <v>27.08</v>
      </c>
      <c r="R8">
        <v>1</v>
      </c>
    </row>
    <row r="9" spans="1:22">
      <c r="A9" s="4">
        <v>46226</v>
      </c>
      <c r="B9" s="93">
        <v>37.68</v>
      </c>
      <c r="C9" s="94">
        <v>39.54</v>
      </c>
      <c r="D9" s="97">
        <v>44.67</v>
      </c>
      <c r="E9" s="95">
        <v>4</v>
      </c>
      <c r="F9" s="96">
        <v>26</v>
      </c>
      <c r="G9" s="111">
        <v>7</v>
      </c>
      <c r="H9" s="99">
        <f>B9/C9-1</f>
        <v>-4.7040971168436974E-2</v>
      </c>
      <c r="I9" s="98">
        <f t="shared" si="0"/>
        <v>0.37680000000000002</v>
      </c>
      <c r="K9" s="98">
        <f t="shared" si="1"/>
        <v>150.72</v>
      </c>
      <c r="L9" s="96">
        <f t="shared" si="3"/>
        <v>1028.07</v>
      </c>
    </row>
    <row r="10" spans="1:22">
      <c r="A10" s="4">
        <v>46227</v>
      </c>
      <c r="B10" s="93">
        <v>40.71</v>
      </c>
      <c r="C10" s="94">
        <v>39.58</v>
      </c>
      <c r="D10" s="97">
        <v>44.53</v>
      </c>
      <c r="E10" s="95">
        <v>1</v>
      </c>
      <c r="F10" s="96">
        <v>27</v>
      </c>
      <c r="G10" s="111">
        <v>7.5</v>
      </c>
      <c r="H10" s="99">
        <f>B10/C10-1</f>
        <v>2.8549772612430635E-2</v>
      </c>
      <c r="I10" s="98">
        <f t="shared" si="0"/>
        <v>0.101775</v>
      </c>
      <c r="K10" s="98">
        <f t="shared" si="1"/>
        <v>40.71</v>
      </c>
      <c r="L10" s="96">
        <f t="shared" si="3"/>
        <v>1068.78</v>
      </c>
      <c r="O10" s="76">
        <v>46230</v>
      </c>
    </row>
    <row r="11" spans="1:22">
      <c r="A11" s="4">
        <v>46230</v>
      </c>
      <c r="P11" s="21" t="s">
        <v>39</v>
      </c>
      <c r="R11" t="s">
        <v>62</v>
      </c>
      <c r="T11" t="s">
        <v>61</v>
      </c>
    </row>
    <row r="12" spans="1:22">
      <c r="O12" s="27" t="s">
        <v>40</v>
      </c>
      <c r="P12" s="11" t="s">
        <v>18</v>
      </c>
      <c r="Q12" t="s">
        <v>35</v>
      </c>
      <c r="R12" s="12">
        <f>R24</f>
        <v>167.11446153846154</v>
      </c>
      <c r="S12" s="17" t="s">
        <v>73</v>
      </c>
      <c r="T12" s="85">
        <f>R12/2</f>
        <v>83.55723076923077</v>
      </c>
      <c r="U12" s="25" t="s">
        <v>60</v>
      </c>
    </row>
    <row r="13" spans="1:22">
      <c r="O13" s="90" t="s">
        <v>41</v>
      </c>
      <c r="P13" s="91" t="s">
        <v>54</v>
      </c>
      <c r="Q13" s="86">
        <f>Q21-0.01</f>
        <v>44.517499999999998</v>
      </c>
      <c r="R13" s="87">
        <v>1</v>
      </c>
      <c r="S13" t="s">
        <v>49</v>
      </c>
      <c r="T13" s="57">
        <f>T12/Q13</f>
        <v>1.8769524517151857</v>
      </c>
      <c r="U13" s="19" t="s">
        <v>59</v>
      </c>
    </row>
    <row r="14" spans="1:22">
      <c r="O14" s="92" t="s">
        <v>41</v>
      </c>
      <c r="P14" s="92" t="s">
        <v>28</v>
      </c>
      <c r="Q14" s="88">
        <v>39.58</v>
      </c>
      <c r="R14" s="87">
        <v>3</v>
      </c>
      <c r="S14" s="26" t="s">
        <v>63</v>
      </c>
      <c r="T14" s="56">
        <f>R12/Q14-R13</f>
        <v>3.2221945815680026</v>
      </c>
      <c r="U14" s="19" t="s">
        <v>58</v>
      </c>
    </row>
    <row r="15" spans="1:22">
      <c r="O15" s="103">
        <v>1.2</v>
      </c>
      <c r="P15" s="100">
        <f>B9*O15</f>
        <v>45.216000000000001</v>
      </c>
      <c r="Q15" s="88">
        <f>T15</f>
        <v>33.422892307692308</v>
      </c>
      <c r="R15" s="87">
        <v>1</v>
      </c>
      <c r="S15" s="26" t="s">
        <v>64</v>
      </c>
      <c r="T15" s="56">
        <f>R12/(R13+R14+1)</f>
        <v>33.422892307692308</v>
      </c>
      <c r="U15" s="19" t="s">
        <v>65</v>
      </c>
    </row>
    <row r="16" spans="1:22">
      <c r="O16" s="101"/>
      <c r="P16" s="102" t="s">
        <v>181</v>
      </c>
      <c r="Q16" s="88">
        <f>T16</f>
        <v>27.852410256410256</v>
      </c>
      <c r="R16" s="87">
        <v>1</v>
      </c>
      <c r="S16" s="104">
        <f>C7*80%</f>
        <v>32.088000000000001</v>
      </c>
      <c r="T16" s="56">
        <f>R12/(R13+R14+R15+1)</f>
        <v>27.852410256410256</v>
      </c>
      <c r="U16" s="105" t="s">
        <v>66</v>
      </c>
      <c r="V16" s="105"/>
    </row>
    <row r="19" spans="15:21">
      <c r="O19" t="s">
        <v>47</v>
      </c>
    </row>
    <row r="20" spans="15:21">
      <c r="O20" t="s">
        <v>179</v>
      </c>
      <c r="Q20" s="16">
        <f>(20-G10)%</f>
        <v>0.125</v>
      </c>
      <c r="R20" s="17" t="s">
        <v>56</v>
      </c>
    </row>
    <row r="21" spans="15:21">
      <c r="O21" s="10" t="s">
        <v>75</v>
      </c>
      <c r="Q21" s="13">
        <f>C10*(1+Q20)</f>
        <v>44.527499999999996</v>
      </c>
      <c r="R21" t="s">
        <v>53</v>
      </c>
      <c r="S21" s="23" t="s">
        <v>70</v>
      </c>
    </row>
    <row r="22" spans="15:21">
      <c r="O22" s="30" t="s">
        <v>178</v>
      </c>
      <c r="Q22" s="29"/>
      <c r="S22" s="23"/>
    </row>
    <row r="24" spans="15:21">
      <c r="O24" s="9" t="s">
        <v>180</v>
      </c>
      <c r="P24" s="9"/>
      <c r="Q24" s="9"/>
      <c r="R24" s="12">
        <f>(P1-L10)/(40-G10)</f>
        <v>167.11446153846154</v>
      </c>
      <c r="S24" s="17" t="s">
        <v>55</v>
      </c>
    </row>
    <row r="25" spans="15:21">
      <c r="S25" s="19" t="s">
        <v>57</v>
      </c>
    </row>
    <row r="26" spans="15:21">
      <c r="P26" s="21" t="s">
        <v>50</v>
      </c>
    </row>
    <row r="27" spans="15:21">
      <c r="O27" s="11" t="s">
        <v>51</v>
      </c>
      <c r="P27" t="s">
        <v>101</v>
      </c>
      <c r="Q27">
        <v>123.6</v>
      </c>
      <c r="R27" s="17" t="s">
        <v>74</v>
      </c>
    </row>
    <row r="28" spans="15:21">
      <c r="O28" s="89" t="s">
        <v>185</v>
      </c>
      <c r="P28" s="86">
        <f>Q21</f>
        <v>44.527499999999996</v>
      </c>
      <c r="Q28" s="87">
        <v>6</v>
      </c>
      <c r="R28">
        <f>F9*1/4</f>
        <v>6.5</v>
      </c>
      <c r="S28" s="106" t="s">
        <v>67</v>
      </c>
      <c r="T28" s="107"/>
    </row>
    <row r="29" spans="15:21">
      <c r="O29" s="112" t="s">
        <v>184</v>
      </c>
      <c r="P29" s="88">
        <f>C10*O30</f>
        <v>47.495999999999995</v>
      </c>
      <c r="Q29" s="87">
        <f>R29</f>
        <v>21</v>
      </c>
      <c r="R29">
        <f>F10-Q28</f>
        <v>21</v>
      </c>
      <c r="S29" s="108" t="s">
        <v>182</v>
      </c>
      <c r="T29" s="1"/>
    </row>
    <row r="30" spans="15:21">
      <c r="O30" s="73">
        <v>1.2</v>
      </c>
    </row>
    <row r="32" spans="15:21">
      <c r="O32" s="113" t="s">
        <v>69</v>
      </c>
      <c r="P32" s="21" t="s">
        <v>78</v>
      </c>
      <c r="Q32" s="52"/>
      <c r="R32" s="52"/>
      <c r="S32" s="52"/>
      <c r="T32" s="52"/>
      <c r="U32" s="52"/>
    </row>
    <row r="33" spans="15:20">
      <c r="O33" s="22" t="s">
        <v>68</v>
      </c>
      <c r="P33" s="11" t="s">
        <v>19</v>
      </c>
      <c r="Q33" t="s">
        <v>35</v>
      </c>
      <c r="R33" s="24">
        <f>R24</f>
        <v>167.11446153846154</v>
      </c>
      <c r="S33" s="17" t="s">
        <v>72</v>
      </c>
    </row>
    <row r="34" spans="15:20">
      <c r="O34" s="28" t="s">
        <v>71</v>
      </c>
      <c r="P34" s="15" t="s">
        <v>54</v>
      </c>
      <c r="Q34" s="13">
        <f>Q21-0.01</f>
        <v>44.517499999999998</v>
      </c>
      <c r="R34">
        <v>3</v>
      </c>
      <c r="S34" t="s">
        <v>49</v>
      </c>
      <c r="T34">
        <f>R33/Q34</f>
        <v>3.7539049034303713</v>
      </c>
    </row>
    <row r="35" spans="15:20">
      <c r="Q35" s="8">
        <v>41.37</v>
      </c>
      <c r="R35">
        <v>1</v>
      </c>
      <c r="S35" s="26" t="s">
        <v>77</v>
      </c>
      <c r="T35">
        <f>R33/(R34+R35)</f>
        <v>41.778615384615385</v>
      </c>
    </row>
    <row r="36" spans="15:20">
      <c r="Q36" s="8">
        <v>33.1</v>
      </c>
      <c r="R36">
        <v>1</v>
      </c>
      <c r="S36" s="26" t="s">
        <v>76</v>
      </c>
      <c r="T36">
        <f>R33/(R34+R35+1)</f>
        <v>33.422892307692308</v>
      </c>
    </row>
    <row r="39" spans="15:20">
      <c r="O39" s="31" t="s">
        <v>80</v>
      </c>
    </row>
    <row r="40" spans="15:20">
      <c r="P40" s="40" t="s">
        <v>85</v>
      </c>
      <c r="R40" s="34" t="s">
        <v>92</v>
      </c>
      <c r="S40" s="35" t="s">
        <v>90</v>
      </c>
    </row>
    <row r="41" spans="15:20">
      <c r="R41" s="32">
        <v>88</v>
      </c>
      <c r="S41">
        <v>20</v>
      </c>
      <c r="T41" s="33" t="s">
        <v>91</v>
      </c>
    </row>
    <row r="42" spans="15:20">
      <c r="O42" s="5" t="s">
        <v>82</v>
      </c>
      <c r="P42" s="11" t="s">
        <v>81</v>
      </c>
      <c r="Q42" t="s">
        <v>83</v>
      </c>
      <c r="R42" s="1">
        <v>4</v>
      </c>
      <c r="S42">
        <f>R41/S41</f>
        <v>4.4000000000000004</v>
      </c>
      <c r="T42" t="s">
        <v>84</v>
      </c>
    </row>
    <row r="45" spans="15:20">
      <c r="P45" s="21" t="s">
        <v>86</v>
      </c>
      <c r="R45" s="36" t="s">
        <v>93</v>
      </c>
      <c r="S45" s="35" t="s">
        <v>90</v>
      </c>
    </row>
    <row r="46" spans="15:20">
      <c r="P46" s="5" t="s">
        <v>87</v>
      </c>
      <c r="Q46" t="s">
        <v>35</v>
      </c>
      <c r="R46" s="32">
        <v>86</v>
      </c>
      <c r="S46">
        <v>20</v>
      </c>
      <c r="T46" s="23" t="s">
        <v>91</v>
      </c>
    </row>
    <row r="47" spans="15:20">
      <c r="P47" s="37" t="s">
        <v>88</v>
      </c>
      <c r="Q47" s="37">
        <v>48.62</v>
      </c>
      <c r="R47" s="37">
        <v>4</v>
      </c>
      <c r="S47">
        <f>R46/S46</f>
        <v>4.3</v>
      </c>
      <c r="T47" t="s">
        <v>84</v>
      </c>
    </row>
    <row r="48" spans="15:20">
      <c r="P48" t="s">
        <v>89</v>
      </c>
    </row>
    <row r="50" spans="15:22">
      <c r="O50" t="s">
        <v>97</v>
      </c>
      <c r="P50" s="21" t="s">
        <v>39</v>
      </c>
      <c r="R50" t="s">
        <v>48</v>
      </c>
      <c r="T50" t="s">
        <v>25</v>
      </c>
      <c r="U50" t="s">
        <v>96</v>
      </c>
    </row>
    <row r="51" spans="15:22">
      <c r="O51" s="27" t="s">
        <v>94</v>
      </c>
      <c r="P51" s="5" t="s">
        <v>87</v>
      </c>
      <c r="Q51" t="s">
        <v>35</v>
      </c>
      <c r="R51" s="12">
        <f>V51</f>
        <v>175</v>
      </c>
      <c r="S51" s="17" t="s">
        <v>73</v>
      </c>
      <c r="T51">
        <v>400</v>
      </c>
      <c r="U51">
        <v>300</v>
      </c>
      <c r="V51" s="25">
        <f>(T51+U51)/4</f>
        <v>175</v>
      </c>
    </row>
    <row r="52" spans="15:22">
      <c r="O52" s="28" t="s">
        <v>95</v>
      </c>
      <c r="P52" s="15" t="s">
        <v>54</v>
      </c>
      <c r="Q52" s="14">
        <v>59.54</v>
      </c>
      <c r="R52">
        <v>2</v>
      </c>
      <c r="S52" t="s">
        <v>49</v>
      </c>
      <c r="U52" s="19"/>
    </row>
    <row r="53" spans="15:22">
      <c r="O53" s="1"/>
      <c r="P53" s="1"/>
      <c r="Q53" s="18">
        <v>58.33</v>
      </c>
      <c r="R53">
        <v>1</v>
      </c>
      <c r="S53" s="26"/>
      <c r="U53" s="19"/>
    </row>
    <row r="54" spans="15:22">
      <c r="Q54" s="7">
        <v>43.75</v>
      </c>
      <c r="R54">
        <v>1</v>
      </c>
      <c r="S54" s="26"/>
      <c r="U54" s="19"/>
    </row>
    <row r="55" spans="15:22">
      <c r="Q55" s="7">
        <v>35</v>
      </c>
      <c r="R55">
        <v>1</v>
      </c>
      <c r="U55" s="19"/>
    </row>
    <row r="57" spans="15:22">
      <c r="O57" t="s">
        <v>98</v>
      </c>
      <c r="Q57" s="38"/>
      <c r="R57" t="s">
        <v>100</v>
      </c>
    </row>
    <row r="58" spans="15:22">
      <c r="O58" t="s">
        <v>99</v>
      </c>
    </row>
    <row r="60" spans="15:22">
      <c r="O60" s="39" t="s">
        <v>102</v>
      </c>
      <c r="P60" s="39"/>
      <c r="Q60" t="s">
        <v>103</v>
      </c>
      <c r="R60" t="s">
        <v>105</v>
      </c>
    </row>
    <row r="61" spans="15:22">
      <c r="O61" t="s">
        <v>106</v>
      </c>
      <c r="Q61" t="s">
        <v>104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4797-6462-427A-9F09-561906C4D51B}">
  <dimension ref="A1:S36"/>
  <sheetViews>
    <sheetView tabSelected="1" workbookViewId="0">
      <selection activeCell="P4" sqref="P4"/>
    </sheetView>
  </sheetViews>
  <sheetFormatPr defaultRowHeight="17"/>
  <cols>
    <col min="1" max="1" width="12.25" customWidth="1"/>
    <col min="2" max="2" width="8" style="58" customWidth="1"/>
    <col min="3" max="3" width="9.6640625" customWidth="1"/>
    <col min="5" max="5" width="7.75" customWidth="1"/>
    <col min="6" max="6" width="7.6640625" customWidth="1"/>
    <col min="9" max="9" width="8.6640625" style="58"/>
    <col min="11" max="11" width="8.6640625" style="58"/>
    <col min="14" max="14" width="8.33203125" customWidth="1"/>
  </cols>
  <sheetData>
    <row r="1" spans="1:19">
      <c r="A1" s="52" t="s">
        <v>149</v>
      </c>
      <c r="B1" s="74" t="s">
        <v>0</v>
      </c>
      <c r="C1" s="45">
        <v>5000</v>
      </c>
      <c r="H1" s="73" t="s">
        <v>153</v>
      </c>
    </row>
    <row r="2" spans="1:19">
      <c r="A2" s="51" t="s">
        <v>136</v>
      </c>
      <c r="B2" s="72" t="s">
        <v>115</v>
      </c>
      <c r="C2" s="42" t="s">
        <v>116</v>
      </c>
      <c r="D2" s="53" t="s">
        <v>140</v>
      </c>
      <c r="E2" s="37" t="s">
        <v>117</v>
      </c>
      <c r="F2" s="37" t="s">
        <v>118</v>
      </c>
      <c r="G2" s="37" t="s">
        <v>119</v>
      </c>
      <c r="H2" s="41" t="s">
        <v>120</v>
      </c>
      <c r="I2" s="59" t="s">
        <v>137</v>
      </c>
      <c r="J2" s="37" t="s">
        <v>147</v>
      </c>
      <c r="K2" s="61" t="s">
        <v>143</v>
      </c>
      <c r="L2" s="31"/>
      <c r="M2" s="31"/>
    </row>
    <row r="3" spans="1:19" ht="17" customHeight="1">
      <c r="A3" s="43" t="s">
        <v>122</v>
      </c>
      <c r="B3" s="69">
        <v>4999.5</v>
      </c>
      <c r="C3" s="5">
        <f>S8</f>
        <v>4877.4000000000005</v>
      </c>
      <c r="D3" s="17">
        <v>4999.5</v>
      </c>
      <c r="E3" s="18">
        <v>4249.58</v>
      </c>
      <c r="F3" s="13">
        <v>5749.43</v>
      </c>
      <c r="G3">
        <f>C1-B3</f>
        <v>0.5</v>
      </c>
      <c r="H3" s="5">
        <v>0.5</v>
      </c>
      <c r="I3" s="60">
        <v>44.34</v>
      </c>
      <c r="J3" s="8"/>
      <c r="K3" s="62" t="s">
        <v>131</v>
      </c>
      <c r="L3" s="9">
        <v>5000</v>
      </c>
      <c r="M3" s="50" t="s">
        <v>132</v>
      </c>
      <c r="N3" s="9">
        <v>250</v>
      </c>
      <c r="P3" t="s">
        <v>92</v>
      </c>
      <c r="Q3" s="45" t="s">
        <v>111</v>
      </c>
      <c r="S3" s="34" t="s">
        <v>115</v>
      </c>
    </row>
    <row r="4" spans="1:19">
      <c r="A4" s="43" t="s">
        <v>134</v>
      </c>
      <c r="B4" s="58">
        <v>4877.4000000000005</v>
      </c>
      <c r="C4" s="5">
        <f>110*I4</f>
        <v>4976.4000000000005</v>
      </c>
      <c r="D4" s="17">
        <f>S34</f>
        <v>5249.55</v>
      </c>
      <c r="E4" s="18">
        <v>4462.1175000000003</v>
      </c>
      <c r="F4" s="13">
        <v>6036.9825000000001</v>
      </c>
      <c r="G4">
        <v>250.5</v>
      </c>
      <c r="H4" s="5">
        <v>250.5</v>
      </c>
      <c r="I4" s="60">
        <v>45.24</v>
      </c>
      <c r="J4" s="8">
        <v>110</v>
      </c>
      <c r="K4" s="63" t="s">
        <v>107</v>
      </c>
      <c r="L4" s="5" t="s">
        <v>108</v>
      </c>
      <c r="M4" t="s">
        <v>109</v>
      </c>
      <c r="P4">
        <v>110</v>
      </c>
      <c r="Q4" s="48">
        <v>45.45</v>
      </c>
      <c r="R4" s="5" t="s">
        <v>110</v>
      </c>
      <c r="S4" s="7">
        <f>P4*Q4</f>
        <v>4999.5</v>
      </c>
    </row>
    <row r="5" spans="1:19">
      <c r="A5" s="43" t="s">
        <v>142</v>
      </c>
      <c r="B5" s="58">
        <v>4976.4000000000005</v>
      </c>
      <c r="C5" s="5">
        <f>I5*J5</f>
        <v>5670</v>
      </c>
      <c r="D5" s="17">
        <v>5524.6</v>
      </c>
      <c r="E5" s="7">
        <v>4695.91</v>
      </c>
      <c r="F5" s="52">
        <v>6353.29</v>
      </c>
      <c r="G5">
        <v>500.5</v>
      </c>
      <c r="H5" s="5">
        <v>794.7</v>
      </c>
      <c r="I5" s="60">
        <v>54</v>
      </c>
      <c r="J5" s="8">
        <v>105</v>
      </c>
      <c r="K5" s="58" t="s">
        <v>133</v>
      </c>
    </row>
    <row r="6" spans="1:19">
      <c r="A6" s="43" t="s">
        <v>148</v>
      </c>
      <c r="B6" s="58">
        <v>5670</v>
      </c>
      <c r="D6" s="55">
        <v>5854.0700000000006</v>
      </c>
      <c r="E6">
        <v>4975.9595000000008</v>
      </c>
      <c r="F6">
        <v>6732.1805000000004</v>
      </c>
      <c r="G6">
        <f>H5+250</f>
        <v>1044.7</v>
      </c>
      <c r="O6" s="39" t="s">
        <v>130</v>
      </c>
      <c r="P6" s="39">
        <v>10</v>
      </c>
      <c r="Q6" s="46" t="s">
        <v>128</v>
      </c>
    </row>
    <row r="7" spans="1:19">
      <c r="K7" s="64" t="s">
        <v>121</v>
      </c>
      <c r="L7" s="30"/>
      <c r="M7">
        <v>0.85</v>
      </c>
      <c r="N7" s="56">
        <f>D6*M7</f>
        <v>4975.9595000000008</v>
      </c>
      <c r="Q7" s="47" t="s">
        <v>129</v>
      </c>
      <c r="S7" s="34" t="s">
        <v>116</v>
      </c>
    </row>
    <row r="8" spans="1:19">
      <c r="K8" s="65" t="s">
        <v>135</v>
      </c>
      <c r="L8" s="30"/>
      <c r="M8">
        <v>1.1499999999999999</v>
      </c>
      <c r="N8" s="57">
        <f>D6*M8</f>
        <v>6732.1805000000004</v>
      </c>
      <c r="Q8" s="49">
        <v>44.34</v>
      </c>
      <c r="S8" s="1">
        <f>P4*Q8</f>
        <v>4877.4000000000005</v>
      </c>
    </row>
    <row r="11" spans="1:19">
      <c r="K11" s="66" t="s">
        <v>123</v>
      </c>
      <c r="L11" t="s">
        <v>138</v>
      </c>
    </row>
    <row r="12" spans="1:19">
      <c r="K12" s="67" t="s">
        <v>117</v>
      </c>
      <c r="L12" t="s">
        <v>124</v>
      </c>
      <c r="M12" s="7" t="s">
        <v>125</v>
      </c>
      <c r="N12" s="5" t="s">
        <v>120</v>
      </c>
    </row>
    <row r="13" spans="1:19">
      <c r="K13" s="68">
        <v>4975.9595000000008</v>
      </c>
      <c r="L13">
        <v>105</v>
      </c>
      <c r="N13" s="5">
        <v>794.7</v>
      </c>
    </row>
    <row r="14" spans="1:19">
      <c r="L14">
        <v>106</v>
      </c>
      <c r="M14" s="29">
        <f>K13/L13</f>
        <v>47.390090476190487</v>
      </c>
      <c r="N14" s="44">
        <f>N13-M14</f>
        <v>747.30990952380955</v>
      </c>
    </row>
    <row r="15" spans="1:19">
      <c r="L15">
        <v>107</v>
      </c>
      <c r="M15" s="29">
        <f>K13/L14</f>
        <v>46.943014150943405</v>
      </c>
      <c r="N15" s="44">
        <f>N14-M15</f>
        <v>700.36689537286611</v>
      </c>
      <c r="P15" t="s">
        <v>144</v>
      </c>
    </row>
    <row r="16" spans="1:19">
      <c r="L16">
        <v>108</v>
      </c>
      <c r="M16" s="29">
        <f>K13/L15</f>
        <v>46.50429439252337</v>
      </c>
      <c r="N16" s="44">
        <f>N15-M16</f>
        <v>653.86260098034279</v>
      </c>
      <c r="P16" t="s">
        <v>145</v>
      </c>
    </row>
    <row r="17" spans="11:16">
      <c r="L17">
        <v>109</v>
      </c>
      <c r="M17" s="29">
        <f>K13/L16</f>
        <v>46.073699074074085</v>
      </c>
      <c r="N17" s="44">
        <f>N16-M17</f>
        <v>607.78890190626873</v>
      </c>
      <c r="P17" s="5">
        <f>N13*0.25</f>
        <v>198.67500000000001</v>
      </c>
    </row>
    <row r="18" spans="11:16">
      <c r="L18">
        <v>110</v>
      </c>
      <c r="M18" s="29">
        <f>K13/L17</f>
        <v>45.651004587155974</v>
      </c>
      <c r="N18" s="44">
        <f>N17-M18</f>
        <v>562.13789731911277</v>
      </c>
      <c r="P18" t="s">
        <v>151</v>
      </c>
    </row>
    <row r="19" spans="11:16">
      <c r="L19">
        <v>111</v>
      </c>
      <c r="M19" s="29">
        <f>K13/L18</f>
        <v>45.23599545454546</v>
      </c>
      <c r="N19" s="44">
        <f t="shared" ref="N19:N22" si="0">N18-M19</f>
        <v>516.90190186456732</v>
      </c>
    </row>
    <row r="20" spans="11:16">
      <c r="L20">
        <v>112</v>
      </c>
      <c r="M20" s="29">
        <f>K13/L19</f>
        <v>44.828463963963969</v>
      </c>
      <c r="N20" s="44">
        <f t="shared" si="0"/>
        <v>472.07343790060338</v>
      </c>
    </row>
    <row r="21" spans="11:16">
      <c r="L21">
        <v>113</v>
      </c>
      <c r="M21" s="29">
        <f>K13/L20</f>
        <v>44.428209821428581</v>
      </c>
      <c r="N21" s="44">
        <f t="shared" si="0"/>
        <v>427.64522807917479</v>
      </c>
    </row>
    <row r="22" spans="11:16">
      <c r="L22">
        <v>114</v>
      </c>
      <c r="M22" s="29">
        <f>K13/L21</f>
        <v>44.035039823008859</v>
      </c>
      <c r="N22" s="44">
        <f t="shared" si="0"/>
        <v>383.61018825616594</v>
      </c>
    </row>
    <row r="23" spans="11:16">
      <c r="M23" s="29"/>
    </row>
    <row r="25" spans="11:16">
      <c r="K25" s="69" t="s">
        <v>126</v>
      </c>
      <c r="L25" t="s">
        <v>138</v>
      </c>
    </row>
    <row r="26" spans="11:16">
      <c r="K26" s="70" t="s">
        <v>118</v>
      </c>
      <c r="L26" t="s">
        <v>124</v>
      </c>
      <c r="M26" s="52" t="s">
        <v>125</v>
      </c>
      <c r="N26" s="5" t="s">
        <v>120</v>
      </c>
    </row>
    <row r="27" spans="11:16">
      <c r="K27" s="71">
        <v>6732.1805000000004</v>
      </c>
      <c r="L27">
        <v>105</v>
      </c>
      <c r="N27" s="5">
        <v>794.7</v>
      </c>
    </row>
    <row r="28" spans="11:16">
      <c r="L28">
        <v>104</v>
      </c>
      <c r="M28" s="29">
        <f>K27/L27</f>
        <v>64.116004761904762</v>
      </c>
      <c r="N28" s="44">
        <f>N27+M28</f>
        <v>858.81600476190476</v>
      </c>
      <c r="P28" t="s">
        <v>146</v>
      </c>
    </row>
    <row r="29" spans="11:16">
      <c r="L29">
        <v>103</v>
      </c>
      <c r="M29" s="29">
        <f>K27/L28</f>
        <v>64.732504807692308</v>
      </c>
      <c r="N29" s="44">
        <f>N28+M29</f>
        <v>923.54850956959706</v>
      </c>
    </row>
    <row r="30" spans="11:16">
      <c r="L30">
        <v>102</v>
      </c>
      <c r="M30" s="29">
        <f>K27/L29</f>
        <v>65.360975728155339</v>
      </c>
      <c r="N30" s="44">
        <f>N29+M30</f>
        <v>988.90948529775244</v>
      </c>
    </row>
    <row r="31" spans="11:16">
      <c r="L31">
        <v>101</v>
      </c>
      <c r="M31" s="29">
        <f>K27/L30</f>
        <v>66.001769607843144</v>
      </c>
      <c r="N31" s="44">
        <f>N30+M31</f>
        <v>1054.9112549055956</v>
      </c>
    </row>
    <row r="32" spans="11:16">
      <c r="L32">
        <v>100</v>
      </c>
      <c r="M32" s="29">
        <f>K27/L31</f>
        <v>66.655252475247522</v>
      </c>
      <c r="N32" s="44">
        <f>N31+M32</f>
        <v>1121.5665073808432</v>
      </c>
    </row>
    <row r="33" spans="11:19">
      <c r="L33" t="s">
        <v>127</v>
      </c>
      <c r="M33" t="s">
        <v>127</v>
      </c>
      <c r="N33" t="s">
        <v>127</v>
      </c>
      <c r="P33" s="54" t="s">
        <v>152</v>
      </c>
    </row>
    <row r="34" spans="11:19">
      <c r="K34" s="63" t="s">
        <v>112</v>
      </c>
      <c r="L34" s="20" t="s">
        <v>113</v>
      </c>
      <c r="O34" t="s">
        <v>114</v>
      </c>
      <c r="S34" s="5">
        <f>D3+(0.5/10)+250</f>
        <v>5249.55</v>
      </c>
    </row>
    <row r="35" spans="11:19">
      <c r="K35" s="63" t="s">
        <v>139</v>
      </c>
      <c r="L35" t="s">
        <v>141</v>
      </c>
      <c r="P35" s="5">
        <f>D4+(H4/10)+250</f>
        <v>5524.6</v>
      </c>
    </row>
    <row r="36" spans="11:19">
      <c r="K36" s="58" t="s">
        <v>150</v>
      </c>
      <c r="P36" s="29">
        <f>D5+(H5/10)+250</f>
        <v>5854.0700000000006</v>
      </c>
    </row>
  </sheetData>
  <phoneticPr fontId="1" type="noConversion"/>
  <pageMargins left="0.7" right="0.7" top="0.75" bottom="0.75" header="0.3" footer="0.3"/>
  <ignoredErrors>
    <ignoredError sqref="M1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2B4C-99B5-4554-BC57-D1876D13BE68}">
  <dimension ref="A1:S36"/>
  <sheetViews>
    <sheetView workbookViewId="0">
      <selection activeCell="O7" sqref="O7:O8"/>
    </sheetView>
  </sheetViews>
  <sheetFormatPr defaultRowHeight="17"/>
  <cols>
    <col min="1" max="1" width="12.25" customWidth="1"/>
    <col min="2" max="2" width="8" style="58" customWidth="1"/>
    <col min="3" max="3" width="9.6640625" customWidth="1"/>
    <col min="5" max="5" width="8.1640625" customWidth="1"/>
    <col min="6" max="6" width="8.08203125" customWidth="1"/>
    <col min="9" max="9" width="8.6640625" style="58"/>
    <col min="11" max="11" width="8.6640625" style="58"/>
    <col min="13" max="13" width="9.1640625" customWidth="1"/>
    <col min="14" max="14" width="8.33203125" customWidth="1"/>
  </cols>
  <sheetData>
    <row r="1" spans="1:19">
      <c r="A1" s="52" t="s">
        <v>149</v>
      </c>
      <c r="B1" s="74" t="s">
        <v>157</v>
      </c>
      <c r="C1" s="45">
        <v>20000</v>
      </c>
      <c r="H1" s="73" t="s">
        <v>155</v>
      </c>
    </row>
    <row r="2" spans="1:19">
      <c r="A2" s="51" t="s">
        <v>154</v>
      </c>
      <c r="B2" s="72" t="s">
        <v>115</v>
      </c>
      <c r="C2" s="42" t="s">
        <v>116</v>
      </c>
      <c r="D2" s="53" t="s">
        <v>140</v>
      </c>
      <c r="E2" s="37" t="s">
        <v>117</v>
      </c>
      <c r="F2" s="37" t="s">
        <v>118</v>
      </c>
      <c r="G2" s="37" t="s">
        <v>119</v>
      </c>
      <c r="H2" s="41" t="s">
        <v>120</v>
      </c>
      <c r="I2" s="59" t="s">
        <v>137</v>
      </c>
      <c r="J2" s="37" t="s">
        <v>147</v>
      </c>
      <c r="K2" s="61" t="s">
        <v>173</v>
      </c>
      <c r="L2" s="31"/>
      <c r="M2" s="31"/>
    </row>
    <row r="3" spans="1:19" ht="17" customHeight="1">
      <c r="A3" s="43" t="s">
        <v>122</v>
      </c>
      <c r="B3" s="69">
        <f>I3*J3</f>
        <v>18300</v>
      </c>
      <c r="C3" s="5">
        <v>18900</v>
      </c>
      <c r="D3" s="79">
        <v>18300</v>
      </c>
      <c r="E3" s="18">
        <v>15555</v>
      </c>
      <c r="F3" s="13">
        <v>21045</v>
      </c>
      <c r="G3">
        <v>2000</v>
      </c>
      <c r="H3" s="5">
        <v>2000</v>
      </c>
      <c r="I3" s="60">
        <v>61</v>
      </c>
      <c r="J3" s="8">
        <v>300</v>
      </c>
      <c r="K3" s="62" t="s">
        <v>157</v>
      </c>
      <c r="L3" s="9">
        <v>20000</v>
      </c>
      <c r="M3" s="50" t="s">
        <v>158</v>
      </c>
      <c r="N3" s="9">
        <v>2000</v>
      </c>
      <c r="P3" t="s">
        <v>92</v>
      </c>
      <c r="Q3" s="45" t="s">
        <v>111</v>
      </c>
      <c r="S3" s="34" t="s">
        <v>115</v>
      </c>
    </row>
    <row r="4" spans="1:19">
      <c r="A4" s="43" t="s">
        <v>134</v>
      </c>
      <c r="B4" s="58">
        <v>18900</v>
      </c>
      <c r="C4" s="5">
        <f>I4*J4</f>
        <v>20650</v>
      </c>
      <c r="D4" s="79">
        <v>18500</v>
      </c>
      <c r="E4" s="18">
        <v>15725</v>
      </c>
      <c r="F4" s="13">
        <v>21275</v>
      </c>
      <c r="G4">
        <v>2000</v>
      </c>
      <c r="H4" s="5">
        <v>2000</v>
      </c>
      <c r="I4" s="60">
        <v>70</v>
      </c>
      <c r="J4" s="8">
        <v>295</v>
      </c>
      <c r="K4" s="63" t="s">
        <v>107</v>
      </c>
      <c r="L4" s="5" t="s">
        <v>108</v>
      </c>
      <c r="M4" t="s">
        <v>109</v>
      </c>
      <c r="P4">
        <v>300</v>
      </c>
      <c r="Q4" s="48">
        <v>61</v>
      </c>
      <c r="R4" s="5" t="s">
        <v>110</v>
      </c>
      <c r="S4" s="75">
        <f>P4*Q4</f>
        <v>18300</v>
      </c>
    </row>
    <row r="5" spans="1:19">
      <c r="A5" s="43" t="s">
        <v>142</v>
      </c>
      <c r="B5" s="58">
        <v>4976.4000000000005</v>
      </c>
      <c r="C5" s="5"/>
      <c r="D5" s="79">
        <v>18735.697</v>
      </c>
      <c r="E5" s="7">
        <v>15925.34245</v>
      </c>
      <c r="F5" s="52">
        <v>21546.05155</v>
      </c>
      <c r="G5">
        <v>1231.51</v>
      </c>
      <c r="H5" s="5">
        <v>2356.9699999999998</v>
      </c>
      <c r="I5" s="60">
        <v>54</v>
      </c>
      <c r="J5" s="8">
        <v>105</v>
      </c>
      <c r="K5" s="58" t="s">
        <v>133</v>
      </c>
    </row>
    <row r="6" spans="1:19">
      <c r="A6" s="43" t="s">
        <v>148</v>
      </c>
      <c r="B6" s="58">
        <v>5670</v>
      </c>
      <c r="D6" s="80"/>
      <c r="E6">
        <v>4975.9595000000008</v>
      </c>
      <c r="F6">
        <v>6732.1805000000004</v>
      </c>
      <c r="G6">
        <f>H5+250</f>
        <v>2606.9699999999998</v>
      </c>
      <c r="O6" s="39" t="s">
        <v>130</v>
      </c>
      <c r="P6" s="39">
        <v>10</v>
      </c>
      <c r="Q6" s="46" t="s">
        <v>128</v>
      </c>
    </row>
    <row r="7" spans="1:19">
      <c r="K7" s="64" t="s">
        <v>121</v>
      </c>
      <c r="L7" s="30"/>
      <c r="M7">
        <v>0.85</v>
      </c>
      <c r="N7" s="56">
        <f>D5*M7</f>
        <v>15925.34245</v>
      </c>
      <c r="O7" s="17" t="s">
        <v>167</v>
      </c>
      <c r="Q7" s="47" t="s">
        <v>129</v>
      </c>
      <c r="S7" s="34" t="s">
        <v>116</v>
      </c>
    </row>
    <row r="8" spans="1:19">
      <c r="K8" s="65" t="s">
        <v>135</v>
      </c>
      <c r="L8" s="30"/>
      <c r="M8">
        <v>1.1499999999999999</v>
      </c>
      <c r="N8" s="57">
        <f>D5*M8</f>
        <v>21546.05155</v>
      </c>
      <c r="O8" s="20" t="s">
        <v>168</v>
      </c>
      <c r="Q8" s="49">
        <v>44.34</v>
      </c>
      <c r="S8" s="1">
        <f>P4*Q8</f>
        <v>13302.000000000002</v>
      </c>
    </row>
    <row r="10" spans="1:19">
      <c r="L10" s="81" t="s">
        <v>161</v>
      </c>
      <c r="M10" s="82">
        <v>46225</v>
      </c>
    </row>
    <row r="11" spans="1:19">
      <c r="K11" s="66" t="s">
        <v>123</v>
      </c>
      <c r="L11" t="s">
        <v>138</v>
      </c>
    </row>
    <row r="12" spans="1:19">
      <c r="K12" s="67" t="s">
        <v>117</v>
      </c>
      <c r="L12" t="s">
        <v>124</v>
      </c>
      <c r="M12" s="7" t="s">
        <v>125</v>
      </c>
      <c r="N12" s="5" t="s">
        <v>120</v>
      </c>
      <c r="P12" s="17" t="s">
        <v>162</v>
      </c>
    </row>
    <row r="13" spans="1:19">
      <c r="K13" s="68">
        <v>15925.34245</v>
      </c>
      <c r="L13">
        <v>295</v>
      </c>
      <c r="N13" s="5">
        <v>2356.9699999999998</v>
      </c>
    </row>
    <row r="14" spans="1:19">
      <c r="L14">
        <v>296</v>
      </c>
      <c r="M14" s="29">
        <f>K13/L13</f>
        <v>53.984211694915253</v>
      </c>
      <c r="N14" s="44">
        <f>N13-M14</f>
        <v>2302.9857883050845</v>
      </c>
    </row>
    <row r="15" spans="1:19">
      <c r="L15">
        <v>297</v>
      </c>
      <c r="M15" s="29">
        <f>K13/L14</f>
        <v>53.80183260135135</v>
      </c>
      <c r="N15" s="44">
        <f>N14-M15</f>
        <v>2249.1839557037333</v>
      </c>
      <c r="P15" t="s">
        <v>144</v>
      </c>
    </row>
    <row r="16" spans="1:19">
      <c r="L16">
        <v>298</v>
      </c>
      <c r="M16" s="29">
        <f>K13/L15</f>
        <v>53.620681649831653</v>
      </c>
      <c r="N16" s="44">
        <f>N15-M16</f>
        <v>2195.5632740539018</v>
      </c>
      <c r="P16" t="s">
        <v>145</v>
      </c>
    </row>
    <row r="17" spans="11:18">
      <c r="L17">
        <v>299</v>
      </c>
      <c r="M17" s="29">
        <f>K13/L16</f>
        <v>53.440746476510064</v>
      </c>
      <c r="N17" s="44">
        <f>N16-M17</f>
        <v>2142.1225275773918</v>
      </c>
      <c r="P17" s="5">
        <f>N13*0.5</f>
        <v>1178.4849999999999</v>
      </c>
    </row>
    <row r="18" spans="11:18">
      <c r="L18">
        <v>300</v>
      </c>
      <c r="M18" s="29">
        <f>K13/L17</f>
        <v>53.262014882943141</v>
      </c>
      <c r="N18" s="44">
        <f>N17-M18</f>
        <v>2088.8605126944485</v>
      </c>
      <c r="P18" t="s">
        <v>159</v>
      </c>
    </row>
    <row r="19" spans="11:18">
      <c r="L19">
        <v>301</v>
      </c>
      <c r="M19" s="29">
        <f>K13/L18</f>
        <v>53.084474833333331</v>
      </c>
      <c r="N19" s="44">
        <f t="shared" ref="N19:N22" si="0">N18-M19</f>
        <v>2035.7760378611151</v>
      </c>
    </row>
    <row r="20" spans="11:18">
      <c r="L20">
        <v>302</v>
      </c>
      <c r="M20" s="29">
        <f>K13/L19</f>
        <v>52.908114451827245</v>
      </c>
      <c r="N20" s="44">
        <f t="shared" si="0"/>
        <v>1982.8679234092879</v>
      </c>
      <c r="P20" s="17" t="s">
        <v>164</v>
      </c>
      <c r="R20" s="77">
        <v>15</v>
      </c>
    </row>
    <row r="21" spans="11:18">
      <c r="L21">
        <v>303</v>
      </c>
      <c r="M21" s="29">
        <f>K13/L20</f>
        <v>52.732922019867551</v>
      </c>
      <c r="N21" s="44">
        <f t="shared" si="0"/>
        <v>1930.1350013894203</v>
      </c>
      <c r="P21" s="17" t="s">
        <v>169</v>
      </c>
    </row>
    <row r="22" spans="11:18">
      <c r="L22">
        <v>304</v>
      </c>
      <c r="M22" s="29">
        <f>K13/L21</f>
        <v>52.558885973597363</v>
      </c>
      <c r="N22" s="44">
        <f t="shared" si="0"/>
        <v>1877.5761154158229</v>
      </c>
    </row>
    <row r="23" spans="11:18">
      <c r="M23" s="29"/>
      <c r="P23" s="78" t="s">
        <v>160</v>
      </c>
    </row>
    <row r="25" spans="11:18">
      <c r="K25" s="69" t="s">
        <v>126</v>
      </c>
      <c r="L25" t="s">
        <v>138</v>
      </c>
    </row>
    <row r="26" spans="11:18">
      <c r="K26" s="70" t="s">
        <v>118</v>
      </c>
      <c r="L26" t="s">
        <v>124</v>
      </c>
      <c r="M26" s="52" t="s">
        <v>125</v>
      </c>
      <c r="N26" s="5" t="s">
        <v>120</v>
      </c>
    </row>
    <row r="27" spans="11:18">
      <c r="K27" s="71">
        <v>21546.05155</v>
      </c>
      <c r="L27">
        <v>295</v>
      </c>
      <c r="N27" s="5">
        <v>2356.9699999999998</v>
      </c>
    </row>
    <row r="28" spans="11:18">
      <c r="L28">
        <v>294</v>
      </c>
      <c r="M28" s="29">
        <f>K27/L27</f>
        <v>73.037462881355935</v>
      </c>
      <c r="N28" s="44">
        <f>N27+M28</f>
        <v>2430.0074628813559</v>
      </c>
      <c r="P28" t="s">
        <v>146</v>
      </c>
    </row>
    <row r="29" spans="11:18">
      <c r="L29">
        <v>293</v>
      </c>
      <c r="M29" s="29">
        <f>K27/L28</f>
        <v>73.285889625850345</v>
      </c>
      <c r="N29" s="44">
        <f>N28+M29</f>
        <v>2503.2933525072062</v>
      </c>
    </row>
    <row r="30" spans="11:18">
      <c r="L30">
        <v>292</v>
      </c>
      <c r="M30" s="29">
        <f>K27/L29</f>
        <v>73.536012116040951</v>
      </c>
      <c r="N30" s="44">
        <f>N29+M30</f>
        <v>2576.8293646232473</v>
      </c>
      <c r="P30" s="17" t="s">
        <v>166</v>
      </c>
      <c r="R30" s="77">
        <v>0</v>
      </c>
    </row>
    <row r="31" spans="11:18">
      <c r="L31">
        <v>291</v>
      </c>
      <c r="M31" s="29">
        <f>K27/L30</f>
        <v>73.787847773972601</v>
      </c>
      <c r="N31" s="44">
        <f>N30+M31</f>
        <v>2650.6172123972201</v>
      </c>
      <c r="P31" s="17" t="s">
        <v>170</v>
      </c>
    </row>
    <row r="32" spans="11:18">
      <c r="L32">
        <v>290</v>
      </c>
      <c r="M32" s="29">
        <f>K27/L31</f>
        <v>74.041414261168384</v>
      </c>
      <c r="N32" s="44">
        <f>N31+M32</f>
        <v>2724.6586266583886</v>
      </c>
    </row>
    <row r="33" spans="11:19">
      <c r="L33" t="s">
        <v>127</v>
      </c>
      <c r="M33" t="s">
        <v>127</v>
      </c>
      <c r="N33" t="s">
        <v>127</v>
      </c>
      <c r="P33" s="54" t="s">
        <v>152</v>
      </c>
      <c r="R33" t="s">
        <v>163</v>
      </c>
    </row>
    <row r="34" spans="11:19">
      <c r="K34" s="63" t="s">
        <v>112</v>
      </c>
      <c r="L34" s="10" t="s">
        <v>113</v>
      </c>
      <c r="O34" s="17" t="s">
        <v>156</v>
      </c>
      <c r="P34" s="20"/>
      <c r="Q34" s="20"/>
      <c r="R34" s="17" t="s">
        <v>165</v>
      </c>
      <c r="S34" s="5">
        <f>D4+(H4/10)</f>
        <v>18700</v>
      </c>
    </row>
    <row r="35" spans="11:19">
      <c r="K35" s="63" t="s">
        <v>139</v>
      </c>
      <c r="L35" t="s">
        <v>141</v>
      </c>
      <c r="P35" s="5">
        <f>D4+(H4/10)+250</f>
        <v>18950</v>
      </c>
    </row>
    <row r="36" spans="11:19">
      <c r="K36" s="58" t="s">
        <v>150</v>
      </c>
      <c r="P36" s="29">
        <f>D5+(H5/10)+250</f>
        <v>19221.394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9229-9120-49E0-A5BF-81F03683CD0A}">
  <dimension ref="A1:S36"/>
  <sheetViews>
    <sheetView workbookViewId="0">
      <selection activeCell="N28" sqref="N28"/>
    </sheetView>
  </sheetViews>
  <sheetFormatPr defaultRowHeight="17"/>
  <cols>
    <col min="1" max="1" width="12.25" customWidth="1"/>
    <col min="2" max="2" width="8" style="58" customWidth="1"/>
    <col min="3" max="3" width="9.6640625" customWidth="1"/>
    <col min="5" max="5" width="8.4140625" customWidth="1"/>
    <col min="6" max="6" width="8.33203125" customWidth="1"/>
    <col min="9" max="9" width="8.6640625" style="58"/>
    <col min="11" max="11" width="8.6640625" style="58"/>
    <col min="14" max="14" width="8.75" customWidth="1"/>
    <col min="19" max="19" width="8.6640625" customWidth="1"/>
  </cols>
  <sheetData>
    <row r="1" spans="1:19">
      <c r="A1" s="52" t="s">
        <v>149</v>
      </c>
      <c r="B1" s="74" t="s">
        <v>0</v>
      </c>
      <c r="C1" s="45">
        <v>5000</v>
      </c>
      <c r="H1" s="73" t="s">
        <v>175</v>
      </c>
    </row>
    <row r="2" spans="1:19">
      <c r="A2" s="51" t="s">
        <v>176</v>
      </c>
      <c r="B2" s="72" t="s">
        <v>115</v>
      </c>
      <c r="C2" s="42" t="s">
        <v>116</v>
      </c>
      <c r="D2" s="53" t="s">
        <v>140</v>
      </c>
      <c r="E2" s="37" t="s">
        <v>117</v>
      </c>
      <c r="F2" s="37" t="s">
        <v>118</v>
      </c>
      <c r="G2" s="37" t="s">
        <v>119</v>
      </c>
      <c r="H2" s="41" t="s">
        <v>120</v>
      </c>
      <c r="I2" s="59" t="s">
        <v>137</v>
      </c>
      <c r="J2" s="37" t="s">
        <v>147</v>
      </c>
      <c r="K2" s="61" t="s">
        <v>172</v>
      </c>
      <c r="L2" s="31"/>
      <c r="M2" s="31"/>
    </row>
    <row r="3" spans="1:19" ht="17" customHeight="1">
      <c r="A3" s="43" t="s">
        <v>122</v>
      </c>
      <c r="B3" s="69">
        <f>I3*J3</f>
        <v>37500</v>
      </c>
      <c r="C3" s="5">
        <f>I3*J3</f>
        <v>37500</v>
      </c>
      <c r="D3" s="17">
        <v>39500</v>
      </c>
      <c r="E3" s="18">
        <v>33575</v>
      </c>
      <c r="F3" s="13">
        <v>45425</v>
      </c>
      <c r="G3">
        <v>10000</v>
      </c>
      <c r="H3" s="5">
        <v>10000</v>
      </c>
      <c r="I3" s="60">
        <v>75</v>
      </c>
      <c r="J3" s="8">
        <v>500</v>
      </c>
      <c r="K3" s="62" t="s">
        <v>131</v>
      </c>
      <c r="L3" s="9">
        <v>50000</v>
      </c>
      <c r="M3" s="50" t="s">
        <v>174</v>
      </c>
      <c r="N3" s="84">
        <v>5.0000000000000001E-3</v>
      </c>
      <c r="P3" t="s">
        <v>92</v>
      </c>
      <c r="Q3" s="45" t="s">
        <v>111</v>
      </c>
      <c r="S3" s="34" t="s">
        <v>115</v>
      </c>
    </row>
    <row r="4" spans="1:19">
      <c r="A4" s="43" t="s">
        <v>134</v>
      </c>
      <c r="B4" s="58">
        <v>37500</v>
      </c>
      <c r="C4" s="5">
        <f>I4*J4</f>
        <v>33294</v>
      </c>
      <c r="D4" s="17">
        <v>39750</v>
      </c>
      <c r="E4" s="18">
        <v>33787.5</v>
      </c>
      <c r="F4" s="13">
        <v>45712.5</v>
      </c>
      <c r="G4">
        <v>9750</v>
      </c>
      <c r="H4" s="5">
        <v>7335.59</v>
      </c>
      <c r="I4" s="60">
        <v>62</v>
      </c>
      <c r="J4" s="8">
        <v>537</v>
      </c>
      <c r="K4" s="63" t="s">
        <v>107</v>
      </c>
      <c r="L4" s="5" t="s">
        <v>108</v>
      </c>
      <c r="M4" t="s">
        <v>109</v>
      </c>
      <c r="P4">
        <v>500</v>
      </c>
      <c r="Q4" s="48">
        <v>79</v>
      </c>
      <c r="R4" s="5" t="s">
        <v>110</v>
      </c>
      <c r="S4" s="7">
        <f>P4*Q4</f>
        <v>39500</v>
      </c>
    </row>
    <row r="5" spans="1:19">
      <c r="A5" s="43" t="s">
        <v>142</v>
      </c>
      <c r="B5" s="58">
        <v>33294</v>
      </c>
      <c r="C5" s="5"/>
      <c r="D5" s="17">
        <v>39866.78</v>
      </c>
      <c r="E5" s="7">
        <v>33886.762999999999</v>
      </c>
      <c r="F5" s="52">
        <v>45846.796999999999</v>
      </c>
      <c r="G5">
        <f>H4-250</f>
        <v>7085.59</v>
      </c>
      <c r="H5" s="5"/>
      <c r="I5" s="60"/>
      <c r="J5" s="8"/>
      <c r="K5" s="58" t="s">
        <v>133</v>
      </c>
    </row>
    <row r="6" spans="1:19">
      <c r="A6" s="43" t="s">
        <v>148</v>
      </c>
      <c r="D6" s="55"/>
      <c r="O6" s="39" t="s">
        <v>130</v>
      </c>
      <c r="P6" s="39">
        <v>20</v>
      </c>
      <c r="Q6" s="46" t="s">
        <v>128</v>
      </c>
    </row>
    <row r="7" spans="1:19">
      <c r="K7" s="64" t="s">
        <v>121</v>
      </c>
      <c r="L7" s="30"/>
      <c r="M7">
        <v>0.85</v>
      </c>
      <c r="N7" s="56">
        <f>D5*M7</f>
        <v>33886.762999999999</v>
      </c>
      <c r="O7" t="s">
        <v>177</v>
      </c>
      <c r="Q7" s="47" t="s">
        <v>129</v>
      </c>
      <c r="S7" s="34" t="s">
        <v>116</v>
      </c>
    </row>
    <row r="8" spans="1:19">
      <c r="K8" s="65" t="s">
        <v>135</v>
      </c>
      <c r="L8" s="30"/>
      <c r="M8">
        <v>1.1499999999999999</v>
      </c>
      <c r="N8" s="57">
        <f>D5*M8</f>
        <v>45846.796999999999</v>
      </c>
      <c r="O8" s="17" t="s">
        <v>167</v>
      </c>
      <c r="Q8" s="49">
        <v>44.34</v>
      </c>
      <c r="S8" s="1">
        <f>P4*Q8</f>
        <v>22170</v>
      </c>
    </row>
    <row r="9" spans="1:19">
      <c r="O9" s="20" t="s">
        <v>168</v>
      </c>
    </row>
    <row r="11" spans="1:19">
      <c r="K11" s="66" t="s">
        <v>123</v>
      </c>
      <c r="L11" t="s">
        <v>138</v>
      </c>
    </row>
    <row r="12" spans="1:19">
      <c r="K12" s="67" t="s">
        <v>117</v>
      </c>
      <c r="L12" t="s">
        <v>124</v>
      </c>
      <c r="M12" s="7" t="s">
        <v>125</v>
      </c>
      <c r="N12" s="5" t="s">
        <v>119</v>
      </c>
    </row>
    <row r="13" spans="1:19">
      <c r="K13" s="68">
        <v>33886.762999999999</v>
      </c>
      <c r="L13">
        <v>537</v>
      </c>
      <c r="N13" s="5">
        <v>7085.59</v>
      </c>
    </row>
    <row r="14" spans="1:19">
      <c r="L14">
        <v>538</v>
      </c>
      <c r="M14" s="29">
        <f>K13/L13</f>
        <v>63.103841713221598</v>
      </c>
      <c r="N14" s="44">
        <f>N13-M14</f>
        <v>7022.4861582867788</v>
      </c>
    </row>
    <row r="15" spans="1:19">
      <c r="L15">
        <v>539</v>
      </c>
      <c r="M15" s="29">
        <f>K13/L14</f>
        <v>62.986548327137548</v>
      </c>
      <c r="N15" s="44">
        <f>N14-M15</f>
        <v>6959.499609959641</v>
      </c>
      <c r="P15" t="s">
        <v>144</v>
      </c>
    </row>
    <row r="16" spans="1:19">
      <c r="L16">
        <v>540</v>
      </c>
      <c r="M16" s="29">
        <f>K13/L15</f>
        <v>62.869690166975879</v>
      </c>
      <c r="N16" s="44">
        <f>N15-M16</f>
        <v>6896.6299197926655</v>
      </c>
      <c r="P16" t="s">
        <v>145</v>
      </c>
    </row>
    <row r="17" spans="11:18">
      <c r="L17">
        <v>541</v>
      </c>
      <c r="M17" s="29">
        <f>K13/L16</f>
        <v>62.753264814814813</v>
      </c>
      <c r="N17" s="44">
        <f>N16-M17</f>
        <v>6833.8766549778511</v>
      </c>
      <c r="P17" s="5">
        <f>N13*0.75</f>
        <v>5314.1925000000001</v>
      </c>
    </row>
    <row r="18" spans="11:18">
      <c r="L18">
        <v>542</v>
      </c>
      <c r="M18" s="29">
        <f>K13/L17</f>
        <v>62.637269870609977</v>
      </c>
      <c r="N18" s="44">
        <f>N17-M18</f>
        <v>6771.2393851072411</v>
      </c>
      <c r="P18" t="s">
        <v>151</v>
      </c>
    </row>
    <row r="19" spans="11:18">
      <c r="L19">
        <v>543</v>
      </c>
      <c r="M19" s="29">
        <f>K13/L18</f>
        <v>62.521702952029521</v>
      </c>
      <c r="N19" s="44">
        <f t="shared" ref="N19:N22" si="0">N18-M19</f>
        <v>6708.7176821552112</v>
      </c>
    </row>
    <row r="20" spans="11:18">
      <c r="L20">
        <v>544</v>
      </c>
      <c r="M20" s="29">
        <f>K13/L19</f>
        <v>62.406561694290971</v>
      </c>
      <c r="N20" s="44">
        <f t="shared" si="0"/>
        <v>6646.3111204609204</v>
      </c>
      <c r="P20" s="17" t="s">
        <v>164</v>
      </c>
      <c r="R20" s="77">
        <v>37</v>
      </c>
    </row>
    <row r="21" spans="11:18">
      <c r="L21">
        <v>545</v>
      </c>
      <c r="M21" s="29">
        <f>K13/L20</f>
        <v>62.291843749999998</v>
      </c>
      <c r="N21" s="44">
        <f t="shared" si="0"/>
        <v>6584.0192767109202</v>
      </c>
      <c r="P21" s="17" t="s">
        <v>169</v>
      </c>
    </row>
    <row r="22" spans="11:18">
      <c r="L22">
        <v>546</v>
      </c>
      <c r="M22" s="29">
        <f>K13/L21</f>
        <v>62.177546788990824</v>
      </c>
      <c r="N22" s="44">
        <f t="shared" si="0"/>
        <v>6521.8417299219291</v>
      </c>
    </row>
    <row r="23" spans="11:18">
      <c r="M23" s="29"/>
    </row>
    <row r="25" spans="11:18">
      <c r="K25" s="69" t="s">
        <v>126</v>
      </c>
      <c r="L25" t="s">
        <v>138</v>
      </c>
    </row>
    <row r="26" spans="11:18">
      <c r="K26" s="70" t="s">
        <v>118</v>
      </c>
      <c r="L26" t="s">
        <v>124</v>
      </c>
      <c r="M26" s="52" t="s">
        <v>125</v>
      </c>
      <c r="N26" s="5" t="s">
        <v>119</v>
      </c>
    </row>
    <row r="27" spans="11:18">
      <c r="K27" s="71">
        <v>45846.796999999999</v>
      </c>
      <c r="L27">
        <v>537</v>
      </c>
      <c r="N27" s="5">
        <f>N13</f>
        <v>7085.59</v>
      </c>
    </row>
    <row r="28" spans="11:18">
      <c r="L28">
        <v>536</v>
      </c>
      <c r="M28" s="29">
        <f>K27/L27</f>
        <v>85.375785847299809</v>
      </c>
      <c r="N28" s="44">
        <f>N27+M28</f>
        <v>7170.9657858473001</v>
      </c>
      <c r="P28" t="s">
        <v>146</v>
      </c>
    </row>
    <row r="29" spans="11:18">
      <c r="L29">
        <v>535</v>
      </c>
      <c r="M29" s="29">
        <f>K27/L28</f>
        <v>85.535069029850746</v>
      </c>
      <c r="N29" s="44">
        <f>N28+M29</f>
        <v>7256.5008548771511</v>
      </c>
      <c r="P29" s="17" t="s">
        <v>166</v>
      </c>
      <c r="R29" s="77">
        <v>0</v>
      </c>
    </row>
    <row r="30" spans="11:18">
      <c r="L30">
        <v>534</v>
      </c>
      <c r="M30" s="29">
        <f>K27/L29</f>
        <v>85.694947663551403</v>
      </c>
      <c r="N30" s="44">
        <f>N29+M30</f>
        <v>7342.195802540703</v>
      </c>
      <c r="P30" s="17" t="s">
        <v>170</v>
      </c>
    </row>
    <row r="31" spans="11:18">
      <c r="L31">
        <v>533</v>
      </c>
      <c r="M31" s="29">
        <f>K27/L30</f>
        <v>85.855425093632959</v>
      </c>
      <c r="N31" s="44">
        <f>N30+M31</f>
        <v>7428.0512276343361</v>
      </c>
    </row>
    <row r="32" spans="11:18">
      <c r="L32">
        <v>532</v>
      </c>
      <c r="M32" s="29">
        <f>K27/L31</f>
        <v>86.016504690431518</v>
      </c>
      <c r="N32" s="44">
        <f>N31+M32</f>
        <v>7514.0677323247673</v>
      </c>
    </row>
    <row r="33" spans="11:19">
      <c r="L33" t="s">
        <v>127</v>
      </c>
      <c r="M33" t="s">
        <v>127</v>
      </c>
      <c r="N33" t="s">
        <v>127</v>
      </c>
      <c r="P33" s="54" t="s">
        <v>152</v>
      </c>
    </row>
    <row r="34" spans="11:19">
      <c r="K34" s="63" t="s">
        <v>112</v>
      </c>
      <c r="L34" s="83" t="s">
        <v>113</v>
      </c>
      <c r="O34" s="20" t="s">
        <v>171</v>
      </c>
      <c r="R34" s="17" t="s">
        <v>165</v>
      </c>
      <c r="S34" s="5">
        <f>D4+(H4/20)-250</f>
        <v>39866.779499999997</v>
      </c>
    </row>
    <row r="35" spans="11:19">
      <c r="K35" s="63" t="s">
        <v>139</v>
      </c>
      <c r="L35" t="s">
        <v>141</v>
      </c>
      <c r="P35" s="5">
        <f>D4+(H4/10)+250</f>
        <v>40733.559000000001</v>
      </c>
    </row>
    <row r="36" spans="11:19">
      <c r="K36" s="58" t="s">
        <v>150</v>
      </c>
      <c r="P36" s="29">
        <f>D5+(H5/10)+250</f>
        <v>40116.78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무매 계산식</vt:lpstr>
      <vt:lpstr>무한매수 실전</vt:lpstr>
      <vt:lpstr>VR실전(적립식)</vt:lpstr>
      <vt:lpstr>VR실전(거치식)</vt:lpstr>
      <vt:lpstr>VR실전(인출식)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sw312</dc:creator>
  <cp:lastModifiedBy>ten362@naver.com</cp:lastModifiedBy>
  <dcterms:created xsi:type="dcterms:W3CDTF">2026-07-14T07:08:31Z</dcterms:created>
  <dcterms:modified xsi:type="dcterms:W3CDTF">2026-07-26T09:43:53Z</dcterms:modified>
</cp:coreProperties>
</file>